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遗物药水表" sheetId="2" r:id="rId4"/>
    <sheet name="统计及修改" sheetId="3" r:id="rId5"/>
  </sheets>
  <calcPr fullCalcOnLoad="0"/>
</workbook>
</file>

<file path=xl/sharedStrings.xml><?xml version="1.0" encoding="utf-8"?>
<sst xmlns="http://schemas.openxmlformats.org/spreadsheetml/2006/main" count="339" uniqueCount="339">
  <si>
    <t/>
  </si>
  <si>
    <t>序号</t>
  </si>
  <si>
    <t>卡牌名称</t>
  </si>
  <si>
    <t>card name</t>
  </si>
  <si>
    <t>类型</t>
  </si>
  <si>
    <t>颜色</t>
  </si>
  <si>
    <t>稀有度</t>
  </si>
  <si>
    <t>费用</t>
  </si>
  <si>
    <t>卡牌描述</t>
  </si>
  <si>
    <t>备注</t>
  </si>
  <si>
    <t>冲锋模式</t>
  </si>
  <si>
    <t>Charging Mode</t>
  </si>
  <si>
    <t>攻击</t>
  </si>
  <si>
    <t>红色</t>
  </si>
  <si>
    <t>初始</t>
  </si>
  <si>
    <t>造成3（4）点伤害3次</t>
  </si>
  <si>
    <t>装弹</t>
  </si>
  <si>
    <t>Reload</t>
  </si>
  <si>
    <t>技能</t>
  </si>
  <si>
    <t>获得3（5）弹药</t>
  </si>
  <si>
    <t>轻装上阵</t>
  </si>
  <si>
    <t>普通</t>
  </si>
  <si>
    <t>造成5（7）点伤害。获得1弹药。本次攻击不会消耗弹药。消耗</t>
  </si>
  <si>
    <t>穿透射击</t>
  </si>
  <si>
    <t>造成9（12）点伤害。若本次攻击消耗弹药，则同时对所有敌人造成伤害</t>
  </si>
  <si>
    <t>穿甲弹！</t>
  </si>
  <si>
    <t>造成8（10）点伤害。若本次攻击消耗弹药，则给予2（3）层易伤</t>
  </si>
  <si>
    <t>精准打击</t>
  </si>
  <si>
    <t>造成7（9）点伤害。若本次攻击消耗弹药，则给予1（2）层虚弱</t>
  </si>
  <si>
    <t>火力护送</t>
  </si>
  <si>
    <t>造成7（8）点伤害。为一张手牌添加快递3（2）</t>
  </si>
  <si>
    <t>快递：获得保留和消耗。回合结束时若此牌在你的手牌中，则快递层数减1。层数减为0时会自动打出</t>
  </si>
  <si>
    <t>延时爆炸！</t>
  </si>
  <si>
    <t>对所有敌人造成8（11）点伤害。下个回合对所有敌人造成8（11）点伤害</t>
  </si>
  <si>
    <t>射击技巧</t>
  </si>
  <si>
    <t>造成9（10）点伤害。下个回合获得2（3）弹药</t>
  </si>
  <si>
    <t>拉特兰欢迎你</t>
  </si>
  <si>
    <t>对所有敌人造成5点伤害3(4)次</t>
  </si>
  <si>
    <t>（卡牌动画是扔炸弹）</t>
  </si>
  <si>
    <t>虔心十字</t>
  </si>
  <si>
    <t>造成11（15）点伤害2次。将一张圣城净化加入你的手牌</t>
  </si>
  <si>
    <t>圣城净化详情见衍生牌（编号81以后）</t>
  </si>
  <si>
    <t>暴力运输</t>
  </si>
  <si>
    <t>保留。造成21（27）点伤害。将一张拥有“快递”的手牌的快递层数减少1</t>
  </si>
  <si>
    <t>免费派送</t>
  </si>
  <si>
    <t>Free Delivery</t>
  </si>
  <si>
    <t>（保留。）消耗。为一张手牌添加快递3</t>
  </si>
  <si>
    <t>快逃！</t>
  </si>
  <si>
    <t>获得6（9）点格挡。在弃牌堆加入一张笨拙</t>
  </si>
  <si>
    <t>“主”的庇佑</t>
  </si>
  <si>
    <t>获得8（11）点格挡。获得2弹药。</t>
  </si>
  <si>
    <t>并联弹匣</t>
  </si>
  <si>
    <t>jungle style</t>
  </si>
  <si>
    <t>获得3（4）弹药。下回合获得3（4）弹药</t>
  </si>
  <si>
    <t>德克萨斯！</t>
  </si>
  <si>
    <t>Texas!</t>
  </si>
  <si>
    <t>获得6（9）点格挡。将一张德克萨斯加入你的手牌</t>
  </si>
  <si>
    <t>德克萨斯详情见衍生牌（编号81以后）</t>
  </si>
  <si>
    <t>快速弹匣</t>
  </si>
  <si>
    <t>获得2（3）弹药。抽2张牌</t>
  </si>
  <si>
    <t>回望来路</t>
  </si>
  <si>
    <t>获得2（3）弹药。将弃牌堆中的一张牌加入你的手牌。消耗（升级后去除）</t>
  </si>
  <si>
    <t>临时改装</t>
  </si>
  <si>
    <t>获得8（10）点格挡。本回合弹药的伤害增加2(3)</t>
  </si>
  <si>
    <t>准备出发！</t>
  </si>
  <si>
    <t>获得11（13）点格挡。下回合额外获得1点能量并抽1（2）张牌</t>
  </si>
  <si>
    <t>苹果派！</t>
  </si>
  <si>
    <t>Apple Pie!</t>
  </si>
  <si>
    <t>获得4（5）点能量，消耗</t>
  </si>
  <si>
    <t>行动开始！</t>
  </si>
  <si>
    <t>罕见</t>
  </si>
  <si>
    <t>固有。造成5（7）点伤害两次。消耗</t>
  </si>
  <si>
    <t>高速追击</t>
  </si>
  <si>
    <t>造成6（9）点伤害。若本次攻击消耗弹药，则获得1能量并抽1张牌</t>
  </si>
  <si>
    <t>增压弹！</t>
  </si>
  <si>
    <t>造成9（10）点伤害。若本次攻击消耗弹药，则在本回合给予10（20）层缓慢</t>
  </si>
  <si>
    <t>愿主指引</t>
  </si>
  <si>
    <t>造成6（9）点伤害。在你的手牌中加入一张圣城指引</t>
  </si>
  <si>
    <t>圣城指引详情见衍生牌（编号81以后）</t>
  </si>
  <si>
    <t>双发套件</t>
  </si>
  <si>
    <t>造成4（6）点伤害2次，本回合弹药额外造成1次增伤</t>
  </si>
  <si>
    <t>火力掩护</t>
  </si>
  <si>
    <t>对所有敌人造成1点伤害3次，最多消耗3弹药，每消耗1弹药使所有敌人本回合减少2（3）力量</t>
  </si>
  <si>
    <t>天空大扫除</t>
  </si>
  <si>
    <t>Sweeping the Skies</t>
  </si>
  <si>
    <t>随机对敌人造成2（3）点伤害8次</t>
  </si>
  <si>
    <t>愿主同在</t>
  </si>
  <si>
    <t>造成12（17）点伤害。在你的手牌中加入一张圣城永恒</t>
  </si>
  <si>
    <t>圣城永恒详情见衍生牌（编号81以后）</t>
  </si>
  <si>
    <t>改装不当</t>
  </si>
  <si>
    <t>对所有敌人造成12（14）点伤害2次。在弃牌堆中加入一张笨拙</t>
  </si>
  <si>
    <t>前路何在？</t>
  </si>
  <si>
    <t>造成10点伤害3（4）次。在你的手牌中加入一张疑虑</t>
  </si>
  <si>
    <t>勿忘我</t>
  </si>
  <si>
    <t>（保留。）造成1点伤害，至多消耗X弹药，获得3X弹药，消耗</t>
  </si>
  <si>
    <t>扫射模式</t>
  </si>
  <si>
    <t>Shooting Mode</t>
  </si>
  <si>
    <t>造成13（16）点伤害4次</t>
  </si>
  <si>
    <t>叉烧苹果派！</t>
  </si>
  <si>
    <t>Apple pie with char siu!</t>
  </si>
  <si>
    <t>获得3（5）点能量。在本回合随机化你手牌中所有牌的耗能。本回合无法再抽牌</t>
  </si>
  <si>
    <t>包裹</t>
  </si>
  <si>
    <t>快递2，抽1张牌，每当这张牌快递层数增加或减少时，每层使你获得4（6）点格挡</t>
  </si>
  <si>
    <t>混乱狂飙</t>
  </si>
  <si>
    <t>抽3（4）张牌。在本回合随机化你手牌中所有牌的耗能</t>
  </si>
  <si>
    <t>干扰</t>
  </si>
  <si>
    <t>（保留）本回合使敌人特殊能力失效，造成的伤害减少10%，消耗</t>
  </si>
  <si>
    <t>企鹅特快</t>
  </si>
  <si>
    <t>Penguin Express</t>
  </si>
  <si>
    <t>（耗能-1）使1张手牌获得快递2</t>
  </si>
  <si>
    <t>企鹅标快</t>
  </si>
  <si>
    <t>Penguin Standard</t>
  </si>
  <si>
    <t>抽2（3）张牌，使至多2张手牌获得快递3</t>
  </si>
  <si>
    <t>企鹅跨境</t>
  </si>
  <si>
    <t>Penguin International</t>
  </si>
  <si>
    <t>将你抽牌堆中至多2（3）张牌放入手牌，使其耗能增加3E并获得快递4</t>
  </si>
  <si>
    <t>闪光弹</t>
  </si>
  <si>
    <t>给予所有敌人1层虚弱，2(3)回合内受到虚弱效果翻倍</t>
  </si>
  <si>
    <t>和摧残叠加，即最多伤害-75%</t>
  </si>
  <si>
    <t>圣城怜悯</t>
  </si>
  <si>
    <t>获得5（8）点格挡。将手牌中的所有诅咒牌转化为随机天使牌</t>
  </si>
  <si>
    <t>大合照！</t>
  </si>
  <si>
    <t>将一张随机（升级后的）物流卡加入你的手牌，消耗</t>
  </si>
  <si>
    <t>圣城之拥</t>
  </si>
  <si>
    <t>Holy City's Embrace</t>
  </si>
  <si>
    <t>获得12（18）点格挡，在你的手牌中加入一张圣城庇护</t>
  </si>
  <si>
    <t>圣城庇护详情见衍生牌（编号81以后）</t>
  </si>
  <si>
    <t>企鹅大件</t>
  </si>
  <si>
    <t>Penguin Freight</t>
  </si>
  <si>
    <t>所有手牌获得快递3</t>
  </si>
  <si>
    <t>乐观天性</t>
  </si>
  <si>
    <t>获得15（16）点格挡。你的牌堆中每有一张天使牌或诅咒牌，额外获得5（8）点格挡</t>
  </si>
  <si>
    <t>跃跃欲试，但是初始就有一层加成（进阶之灾），包含抽牌，手牌，弃牌，消耗牌堆</t>
  </si>
  <si>
    <t>压满弹匣！</t>
  </si>
  <si>
    <t>X</t>
  </si>
  <si>
    <t>获得3（5）弹药X次</t>
  </si>
  <si>
    <t>升华</t>
  </si>
  <si>
    <t>能力</t>
  </si>
  <si>
    <t>（耗能-1）本场战斗中的所有天使牌获得升级</t>
  </si>
  <si>
    <t>物流安保</t>
  </si>
  <si>
    <t>Secure Delivery</t>
  </si>
  <si>
    <t>每次你的卡牌快递层数增加或减少时，每层使你获得3(4)点格挡</t>
  </si>
  <si>
    <t>加急！</t>
  </si>
  <si>
    <t>Expedite!</t>
  </si>
  <si>
    <t>（耗能-1）快递层数减为1时就可以自动打出</t>
  </si>
  <si>
    <t>”主“的仁慈</t>
  </si>
  <si>
    <t>（固有。）每当你抽到或消耗1张诅咒或天使牌时，额外抽1张牌</t>
  </si>
  <si>
    <t>天赋</t>
  </si>
  <si>
    <t>弹药的伤害增加1(2)</t>
  </si>
  <si>
    <t>易燃易爆</t>
  </si>
  <si>
    <t>快递牌被打出时对所有敌人造成5（7）点伤害，获得1弹药</t>
  </si>
  <si>
    <t>圣城感召</t>
  </si>
  <si>
    <t>（耗能-1）当你打出一张天使牌时，获得1E</t>
  </si>
  <si>
    <t>福音摇滚！</t>
  </si>
  <si>
    <t>在回合开始时，给1（2）张手牌添加天使。获得混乱</t>
  </si>
  <si>
    <t>天使的祝福</t>
  </si>
  <si>
    <t>Angel's Blessings</t>
  </si>
  <si>
    <t>（保留）在你的回合开始时，将一张随机天使牌加入你的手牌</t>
  </si>
  <si>
    <t>准备充足！</t>
  </si>
  <si>
    <t>稀有</t>
  </si>
  <si>
    <t>只有在你的手牌为满时可以打出。造成10（12）点伤害5次。</t>
  </si>
  <si>
    <t>圣城威光</t>
  </si>
  <si>
    <t>造成6（9）点伤害。消耗牌堆中每有一张天使牌，额外造成1次伤害。</t>
  </si>
  <si>
    <t>激光炮？</t>
  </si>
  <si>
    <t>对所有敌人造成20（28）点伤害，最多消耗5弹药</t>
  </si>
  <si>
    <t>使命必达！</t>
  </si>
  <si>
    <t>Guaranteed Success!</t>
  </si>
  <si>
    <t>（保留。）造成5点伤害5次。将手牌中的一张快递牌直接打出。消耗</t>
  </si>
  <si>
    <t>派对时间！</t>
  </si>
  <si>
    <t>随机对敌人造成1点伤害25（30）次。在你的手牌中加入一张睡眠不佳</t>
  </si>
  <si>
    <t>过载模式</t>
  </si>
  <si>
    <t>Overloading Mode</t>
  </si>
  <si>
    <t>造成11（14）点伤害5次。至多消耗5弹药</t>
  </si>
  <si>
    <t>放逐</t>
  </si>
  <si>
    <t>Outcast</t>
  </si>
  <si>
    <t>（保留。）造成12点伤害6次，至多消耗6弹药。将一张悔恨加入你的手牌</t>
  </si>
  <si>
    <t>甜品时间！</t>
  </si>
  <si>
    <t>在你的手牌中加入3（5）张圣城冰淇淋。消耗</t>
  </si>
  <si>
    <t>圣城冰淇淋详情见衍生牌（编号81以后），对标超临界态</t>
  </si>
  <si>
    <t>坚定之心</t>
  </si>
  <si>
    <t>获得2（4）弹药。将一张圣城永恒加入你的手牌</t>
  </si>
  <si>
    <t>失乐园</t>
  </si>
  <si>
    <t>获得2（3）点能量。抽2（3）张牌。在本回合获得混乱。在弃牌堆中加入一张腐朽。消耗</t>
  </si>
  <si>
    <t>瞄准弱点！</t>
  </si>
  <si>
    <t>给予所有敌人1（2）层虚弱和3（4）层易伤。消耗</t>
  </si>
  <si>
    <t>优秀毕业生</t>
  </si>
  <si>
    <t>本回合使所有敌人的特殊能力失效，造成的伤害减少10%。消耗（升级后移除）</t>
  </si>
  <si>
    <t>开火成瘾症</t>
  </si>
  <si>
    <t>Shootoholic</t>
  </si>
  <si>
    <t>从抽牌堆和弃牌堆中随机打出5张攻击牌。消耗至多5弹药，为所有攻击牌提供加成。这些攻击牌在本次攻击中不再消耗弹药。</t>
  </si>
  <si>
    <t>天使之心</t>
  </si>
  <si>
    <t>在你的手牌和抽牌堆所有天使牌各一张。本回合（在两个回合内）所有天使牌都可以免费打出。消耗</t>
  </si>
  <si>
    <t>拥抱新生</t>
  </si>
  <si>
    <t>将X（+1）张随机天使牌加入你的抽牌堆。这些天使牌获得附魔：迅捷1</t>
  </si>
  <si>
    <t>借贷</t>
  </si>
  <si>
    <t>获得45（60）金币。将一张债务加入你的弃牌堆</t>
  </si>
  <si>
    <t>童年</t>
  </si>
  <si>
    <t>耗能不小于3的卡牌耗能-1。获得3（2）层缩小</t>
  </si>
  <si>
    <t>在混乱效果后结算。卡面我要小小乐</t>
  </si>
  <si>
    <t>守护铳</t>
  </si>
  <si>
    <t>每消耗4（3）弹药，抽1张牌</t>
  </si>
  <si>
    <t>爆弹</t>
  </si>
  <si>
    <t>获得4（6）弹药，消耗弹药增加的伤害会对所有敌人造成伤害</t>
  </si>
  <si>
    <t>”主“的宽恕</t>
  </si>
  <si>
    <t>（固有）你可以花费1E 打出原本不能被打出的诅咒牌并消耗。</t>
  </si>
  <si>
    <t>显圣吊坠</t>
  </si>
  <si>
    <t>Necklace of the Presence</t>
  </si>
  <si>
    <t>你每消耗1弹药，获得4（5）格挡</t>
  </si>
  <si>
    <t>物流外包</t>
  </si>
  <si>
    <t>Logistics Outsource</t>
  </si>
  <si>
    <t>（耗能-1）在你的回合开始时，抽1张牌，使最多1张手牌获得快递3。</t>
  </si>
  <si>
    <t>天使形态</t>
  </si>
  <si>
    <t>虚无。（升级后去除）本场战斗中所有卡牌获得天使。天使牌被消耗时额外打出一次。</t>
  </si>
  <si>
    <t>不对能力牌生效，只有能进消耗堆才会重复打出</t>
  </si>
  <si>
    <t>冰镇甜品！</t>
  </si>
  <si>
    <t>快递3，多余的能量可以留到下一回合。</t>
  </si>
  <si>
    <t>帕格尼尼定制</t>
  </si>
  <si>
    <t>快递4，弹药的伤害增加2，回合开始时获得2(3)弹药。</t>
  </si>
  <si>
    <t>大帝</t>
  </si>
  <si>
    <t>Emperor  </t>
  </si>
  <si>
    <t>无色</t>
  </si>
  <si>
    <t>衍生</t>
  </si>
  <si>
    <t>从3张随机(其他全部)物流卡中选择1张加入手牌，消耗</t>
  </si>
  <si>
    <t>物流卡，不会再出现大帝，权重比其他物流卡低一半</t>
  </si>
  <si>
    <t>德克萨斯</t>
  </si>
  <si>
    <t>Texas</t>
  </si>
  <si>
    <t>不消耗弹药。对所有敌人造成2点伤害2次并给予1（2）层虚弱。消耗</t>
  </si>
  <si>
    <t>物流卡</t>
  </si>
  <si>
    <t>能天使</t>
  </si>
  <si>
    <t>Exusiai</t>
  </si>
  <si>
    <t>获得3（4）弹药，回复2点生命，消耗</t>
  </si>
  <si>
    <t>可颂</t>
  </si>
  <si>
    <t>Croissant</t>
  </si>
  <si>
    <t>获得6（9）点格挡，获得10金币，消耗</t>
  </si>
  <si>
    <t>莫斯提马</t>
  </si>
  <si>
    <t>Mostima</t>
  </si>
  <si>
    <t>（耗能-1）在本回合结束后，额外获得一回合。结束你的回合。消耗</t>
  </si>
  <si>
    <t>物流卡，权重比其他物流卡低一半</t>
  </si>
  <si>
    <t>空</t>
  </si>
  <si>
    <t>Sora</t>
  </si>
  <si>
    <t>获得1点力量，给予所有敌人2（3）层虚弱，消耗</t>
  </si>
  <si>
    <t>伊斯</t>
  </si>
  <si>
    <t>Ylth</t>
  </si>
  <si>
    <t>升级你的手牌（和弃牌堆中的牌），获得5点格挡，消耗</t>
  </si>
  <si>
    <t>拜松</t>
  </si>
  <si>
    <t>Bison</t>
  </si>
  <si>
    <t>获得9（12）点格挡，消耗</t>
  </si>
  <si>
    <t>圣城指引</t>
  </si>
  <si>
    <t>天使。抽3（4）张牌。消耗</t>
  </si>
  <si>
    <t>圣城净化</t>
  </si>
  <si>
    <t>天使。消耗1（最多2）张手牌。获得3（4）弹药。消耗</t>
  </si>
  <si>
    <t>天使：这张牌的耗能不会增加</t>
  </si>
  <si>
    <t>圣城庇护</t>
  </si>
  <si>
    <t>天使。获得15（20）点格挡。在你的下个回合开始前，你的生命值不会低于1。消耗</t>
  </si>
  <si>
    <t>圣城永恒</t>
  </si>
  <si>
    <t>天使。保留。保留你的手牌1（2）个回合。在下（2）个回合额外获得2点费用。消耗</t>
  </si>
  <si>
    <t>圣城冰淇淋</t>
  </si>
  <si>
    <t>天使。保留。获得1（2）E</t>
  </si>
  <si>
    <t>连发冲锋</t>
  </si>
  <si>
    <t>先古</t>
  </si>
  <si>
    <t>造成5点伤害3次。弹药提供的伤害加成提升至3（5）倍</t>
  </si>
  <si>
    <t>幸运弹匣</t>
  </si>
  <si>
    <t>（固有）每个回合打出第一张攻击牌时，获得等量于其消耗的弹药</t>
  </si>
  <si>
    <t>名称</t>
  </si>
  <si>
    <t>name</t>
  </si>
  <si>
    <t>遗物池</t>
  </si>
  <si>
    <t>效果</t>
  </si>
  <si>
    <t>能天使的证章</t>
  </si>
  <si>
    <t>Exusiai's Badge</t>
  </si>
  <si>
    <t>在每场战斗开始时，获得4弹药</t>
  </si>
  <si>
    <t>能天使的杰作</t>
  </si>
  <si>
    <t>Exusiai's Surprise</t>
  </si>
  <si>
    <t>在每场战斗开始时，获得8弹药，弹药额外增加1点伤害</t>
  </si>
  <si>
    <t>问题记录</t>
  </si>
  <si>
    <t>描述</t>
  </si>
  <si>
    <t>状态</t>
  </si>
  <si>
    <t>统计</t>
  </si>
  <si>
    <t>总计</t>
  </si>
  <si>
    <t>弹药</t>
  </si>
  <si>
    <t>保留一张罕见（蓝）弹药增伤能力「天赋」。「天空大扫除」升为罕见。</t>
  </si>
  <si>
    <t>已修改</t>
  </si>
  <si>
    <t>重做稀有（金）卡「定制铳械」，考虑做成类似“创世纪”的效果，不要只是数值更大的「天赋」，同时解决目前5费收益不足的问题。</t>
  </si>
  <si>
    <t>混乱</t>
  </si>
  <si>
    <t>「福音摇滚！」目前过于极端，而且可能与其他能量牌定位重复。</t>
  </si>
  <si>
    <t>降蓝并修改效果</t>
  </si>
  <si>
    <t>其他</t>
  </si>
  <si>
    <t>把「借贷」升为稀有。</t>
  </si>
  <si>
    <t>需要一张新的形态卡</t>
  </si>
  <si>
    <t>缺少一张罕见易伤牌/群体易伤牌</t>
  </si>
  <si>
    <t>金卡对群（66号）</t>
  </si>
  <si>
    <t>天使</t>
  </si>
  <si>
    <t>天使形态改为蓝卡（对标子程序）</t>
  </si>
  <si>
    <t>天使牌效果太强，考虑调整。加回类似“暴露”和回1费的卡，圣光惩戒改成非衍生卡</t>
  </si>
  <si>
    <t>天使卡改名了，但前面有些还没改。现在有些天使牌可能过强了，感觉0费抽2(3)或者3(4)合理一点，以及“永恒”的收益太高，下回合加费数量要不别增加了？以及缺少一张天使加费卡</t>
  </si>
  <si>
    <t>「天使之心」效果太夸张，考虑去掉特效纯印牌，改成像“新生之喜”</t>
  </si>
  <si>
    <t>削弱了特效</t>
  </si>
  <si>
    <t>考虑把“天使的祝福”改成往抽牌堆塞牌；不想改，所以加了1费</t>
  </si>
  <si>
    <t>不修改</t>
  </si>
  <si>
    <t>好的，那就不改了，感觉也没必要加费</t>
  </si>
  <si>
    <t>缺一张获得圣城庇护的卡，修改了“圣城之拥”</t>
  </si>
  <si>
    <t>诅咒</t>
  </si>
  <si>
    <t>加入了一张0费诅咒防卡“快逃”，对标“高速脱离”</t>
  </si>
  <si>
    <t>让诅咒体系和天使体系联动，避免变成劣化版状态机。考虑能力对天使和诅咒卡同时生效，如“仁慈”。</t>
  </si>
  <si>
    <t>加入了新跃跃欲试（45号）</t>
  </si>
  <si>
    <t>缺少一张可复用加费</t>
  </si>
  <si>
    <t>叉烧苹果派取消抽牌和消耗效果</t>
  </si>
  <si>
    <t>显圣吊坠升金并加1点数值</t>
  </si>
  <si>
    <t>瞄准弱点数值也太高了，遂修改</t>
  </si>
  <si>
    <t>快递4，弹药额外增加2伤害，回合开始时获得2(3)弹药。</t>
  </si>
  <si>
    <t>获得8（10）点格挡。本回合弹药额外增加2(3)伤害</t>
  </si>
  <si>
    <t>弹药额外增加1(2)伤害</t>
  </si>
  <si>
    <t>弹幕嗨破天！</t>
  </si>
  <si>
    <t>Barrage sky-shattering!</t>
  </si>
  <si>
    <t>保留。造成21（27）点伤害。将一张拥有快递的手牌的快递层数减少1</t>
  </si>
  <si>
    <t>保留。造成21（27）点伤害。将一张拥有快递的手牌的层数减少1</t>
  </si>
  <si>
    <t>保留。造成21（27）点伤害。将一张拥有快递的手牌层数减少1</t>
  </si>
  <si>
    <t>穿透打击</t>
  </si>
  <si>
    <t>穿甲弹</t>
  </si>
  <si>
    <t>延时爆炸</t>
  </si>
  <si>
    <t>子弹上膛</t>
  </si>
  <si>
    <t>Locked and loaded</t>
  </si>
  <si>
    <t>Ready for Action!</t>
  </si>
  <si>
    <t>准备万全！</t>
  </si>
  <si>
    <t>弹药：打出攻击牌时消耗1弹药，为该次攻击增加2伤害</t>
  </si>
  <si>
    <t>快递3（2），多余的能量可以留到下一回合。</t>
  </si>
  <si>
    <t>圣徒行迹</t>
  </si>
  <si>
    <t>（固有）每个回合打出前2张攻击牌时，获得等量于其消耗的弹药</t>
  </si>
  <si>
    <t>圣徒行记</t>
  </si>
  <si>
    <t>The Saints' Travels</t>
  </si>
  <si>
    <t>只对一个敌人生效</t>
  </si>
  <si>
    <t>（固有）打出耗能，获得1弹药</t>
  </si>
  <si>
    <t>（耗能-1）打出耗能，获得1弹药</t>
  </si>
  <si>
    <t>（固有）</t>
  </si>
  <si>
    <t>（耗能-1）你每打出耗能不大于1的卡牌，获得1弹药</t>
  </si>
  <si>
    <t>你每打出耗能不大于1的卡牌，获得1弹药</t>
  </si>
  <si>
    <t>（固有）你每打出耗能不大于1的卡牌，获得1弹药</t>
  </si>
  <si>
    <t>（固有）你每打出耗能不大于1的卡牌，获得2弹药</t>
  </si>
  <si>
    <t>（固有）每回合打出前2张攻击牌时，获得等量于其消耗的弹药</t>
  </si>
  <si>
    <t>每次消耗弹药时，获得</t>
  </si>
</sst>
</file>

<file path=xl/styles.xml><?xml version="1.0" encoding="utf-8"?>
<styleSheet xmlns="http://schemas.openxmlformats.org/spreadsheetml/2006/main"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2"/>
    </font>
    <font>
      <sz val="12"/>
    </font>
    <font>
      <name val="等线"/>
      <color rgb="FF2972F4"/>
      <sz val="12"/>
    </font>
    <font>
      <name val="等线"/>
      <sz val="12"/>
    </font>
    <font>
      <name val="等线"/>
      <sz val="12"/>
    </font>
    <font>
      <sz val="11"/>
    </font>
    <font>
      <sz val="11"/>
    </font>
    <font/>
    <font>
      <name val="Microsoft YaHei"/>
    </font>
  </fonts>
  <fills count="1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/>
    <fill/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FFC9C7"/>
        <bgColor rgb="FFFFC9C7"/>
      </patternFill>
    </fill>
    <fill>
      <patternFill patternType="solid">
        <fgColor rgb="FFD8D8D8"/>
        <bgColor rgb="FFD8D8D8"/>
      </patternFill>
    </fill>
    <fill>
      <patternFill patternType="solid">
        <fgColor rgb="FFFFEEAD"/>
        <bgColor rgb="FFFFEEAD"/>
      </patternFill>
    </fill>
    <fill>
      <patternFill patternType="solid">
        <fgColor rgb="FFF2C7FF"/>
        <bgColor rgb="FFF2C7FF"/>
      </patternFill>
    </fill>
  </fills>
  <borders count="17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>
    <xf fontId="11" fillId="0" borderId="0" xfId="0" applyNumberFormat="1" applyFont="1" applyFill="1" applyBorder="1" applyAlignment="1">
      <alignment vertical="center"/>
    </xf>
  </cellStyleXfs>
  <cellXfs count="8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wrapText="1"/>
    </xf>
    <xf fontId="3" fillId="0" borderId="0" xfId="0">
      <alignment horizontal="center" vertical="center" textRotation="0"/>
    </xf>
    <xf fontId="4" fillId="0" borderId="0" xfId="0">
      <alignment vertical="center"/>
    </xf>
    <xf fontId="3" fillId="0" borderId="0" xfId="0">
      <alignment horizontal="left" vertical="center" textRotation="0" wrapText="1"/>
    </xf>
    <xf fontId="3" fillId="2" borderId="0" xfId="0">
      <alignment horizontal="center" vertical="bottom" textRotation="0"/>
    </xf>
    <xf fontId="3" fillId="2" borderId="0" xfId="0">
      <alignment horizontal="left" vertical="bottom" textRotation="0" wrapText="1"/>
    </xf>
    <xf fontId="4" fillId="3" borderId="0" xfId="0">
      <alignment vertical="center"/>
    </xf>
    <xf fontId="3" fillId="0" borderId="0" xfId="0">
      <alignment horizontal="center" vertical="center"/>
    </xf>
    <xf fontId="3" fillId="0" borderId="0" xfId="0">
      <alignment horizontal="left" vertical="center" wrapText="1"/>
    </xf>
    <xf fontId="3" fillId="0" borderId="0" xfId="0">
      <alignment horizontal="center" vertical="center" textRotation="0"/>
    </xf>
    <xf fontId="3" fillId="0" borderId="0" xfId="0">
      <alignment horizontal="left" vertical="center" textRotation="0" wrapText="1"/>
    </xf>
    <xf numFmtId="0" fontId="3" fillId="0" borderId="0" xfId="0">
      <alignment horizontal="left" vertical="center" textRotation="0" wrapText="1"/>
    </xf>
    <xf fontId="3" fillId="0" borderId="0" xfId="0">
      <alignment horizontal="center" vertical="center"/>
    </xf>
    <xf fontId="5" fillId="0" borderId="0" xfId="0">
      <alignment horizontal="left" vertical="center" textRotation="0" wrapText="1"/>
    </xf>
    <xf numFmtId="0" fontId="3" fillId="0" borderId="0" xfId="0">
      <alignment horizontal="center" vertical="center" textRotation="0"/>
    </xf>
    <xf fontId="5" fillId="0" borderId="0" xfId="0">
      <alignment horizontal="left" vertical="center" textRotation="0" wrapText="1"/>
    </xf>
    <xf fontId="3" fillId="4" borderId="0" xfId="0">
      <alignment horizontal="center" vertical="bottom" textRotation="0"/>
    </xf>
    <xf fontId="3" fillId="4" borderId="0" xfId="0">
      <alignment horizontal="left" vertical="bottom" textRotation="0" wrapText="1"/>
    </xf>
    <xf fontId="3" fillId="4" borderId="0" xfId="0">
      <alignment horizontal="left" vertical="bottom" textRotation="0" wrapText="1"/>
    </xf>
    <xf fontId="4" fillId="5" borderId="0" xfId="0">
      <alignment vertical="center"/>
    </xf>
    <xf numFmtId="0" fontId="3" fillId="6" borderId="0" xfId="0">
      <alignment horizontal="left" vertical="center" textRotation="0" wrapText="1"/>
    </xf>
    <xf fontId="3" fillId="0" borderId="0" xfId="0">
      <alignment horizontal="left" vertical="center" wrapText="1"/>
    </xf>
    <xf fontId="3" fillId="0" borderId="0" xfId="0">
      <alignment horizontal="center" vertical="center" textRotation="0" wrapText="0"/>
    </xf>
    <xf fontId="6" fillId="0" borderId="0" xfId="0">
      <alignment horizontal="left" vertical="center" wrapText="1"/>
    </xf>
    <xf fontId="6" fillId="0" borderId="0" xfId="0">
      <alignment horizontal="center" vertical="center"/>
    </xf>
    <xf fontId="3" fillId="7" borderId="1" xfId="0">
      <alignment horizontal="center" vertical="center" textRotation="0"/>
    </xf>
    <xf fontId="6" fillId="0" borderId="0" xfId="0">
      <alignment horizontal="center" vertical="center"/>
    </xf>
    <xf fontId="6" fillId="0" borderId="0" xfId="0">
      <alignment horizontal="left" vertical="center" wrapText="1"/>
    </xf>
    <xf fontId="3" fillId="8" borderId="0" xfId="0">
      <alignment horizontal="center" vertical="center" textRotation="0"/>
    </xf>
    <xf fontId="3" fillId="7" borderId="1" xfId="0">
      <alignment horizontal="center" vertical="center" textRotation="0"/>
    </xf>
    <xf fontId="3" fillId="9" borderId="0" xfId="0">
      <alignment horizontal="center" vertical="center" textRotation="0"/>
    </xf>
    <xf fontId="3" fillId="9" borderId="0" xfId="0">
      <alignment horizontal="left" vertical="center" textRotation="0" wrapText="1"/>
    </xf>
    <xf fontId="4" fillId="10" borderId="0" xfId="0">
      <alignment vertical="center"/>
    </xf>
    <xf fontId="6" fillId="0" borderId="0" xfId="0">
      <alignment horizontal="center" vertical="center" textRotation="0"/>
    </xf>
    <xf fontId="6" fillId="0" borderId="0" xfId="0">
      <alignment horizontal="center" vertical="center" textRotation="0"/>
    </xf>
    <xf fontId="7" fillId="0" borderId="0" xfId="0">
      <alignment horizontal="center" vertical="center" textRotation="0"/>
    </xf>
    <xf fontId="7" fillId="0" borderId="0" xfId="0">
      <alignment horizontal="left" vertical="center" textRotation="0" wrapText="1"/>
    </xf>
    <xf fontId="6" fillId="0" borderId="0" xfId="0">
      <alignment horizontal="left" vertical="center" textRotation="0" wrapText="1"/>
    </xf>
    <xf fontId="3" fillId="2" borderId="0" xfId="0">
      <alignment horizontal="center" vertical="center" textRotation="0"/>
    </xf>
    <xf fontId="3" fillId="2" borderId="0" xfId="0">
      <alignment horizontal="left" vertical="center" textRotation="0" wrapText="1"/>
    </xf>
    <xf fontId="3" fillId="0" borderId="0" xfId="0">
      <alignment vertical="center" textRotation="0" wrapText="1"/>
    </xf>
    <xf fontId="3" fillId="0" borderId="0" xfId="0">
      <alignment horizontal="center" vertical="center" textRotation="0" wrapText="1"/>
    </xf>
    <xf fontId="3" fillId="0" borderId="0" xfId="0">
      <alignment vertical="center" textRotation="0" wrapText="1"/>
    </xf>
    <xf fontId="3" fillId="0" borderId="0" xfId="0">
      <alignment vertical="center" textRotation="0" wrapText="1"/>
    </xf>
    <xf fontId="4" fillId="0" borderId="0" xfId="0">
      <alignment vertical="center"/>
    </xf>
    <xf fontId="3" fillId="0" borderId="0" xfId="0">
      <alignment vertical="center" textRotation="0" wrapText="1"/>
    </xf>
    <xf numFmtId="0" fontId="3" fillId="0" borderId="0" xfId="0">
      <alignment horizontal="left" vertical="center" wrapText="1"/>
    </xf>
    <xf numFmtId="0" fontId="3" fillId="0" borderId="0" xfId="0">
      <alignment horizontal="center" vertical="center" textRotation="0" wrapText="1"/>
    </xf>
    <xf fontId="3" fillId="0" borderId="0" xfId="0">
      <alignment horizontal="center" vertical="center" textRotation="0" wrapText="0"/>
    </xf>
    <xf fontId="8" fillId="0" borderId="2" xfId="0">
      <alignment horizontal="center" vertical="center"/>
    </xf>
    <xf fontId="8" fillId="0" borderId="3" xfId="0">
      <alignment horizontal="center" vertical="center" wrapText="1"/>
    </xf>
    <xf fontId="8" fillId="0" borderId="3" xfId="0">
      <alignment horizontal="center" vertical="center"/>
    </xf>
    <xf fontId="8" fillId="0" borderId="4" xfId="0">
      <alignment horizontal="center" vertical="center"/>
    </xf>
    <xf fontId="8" fillId="0" borderId="5" xfId="0">
      <alignment horizontal="center" vertical="center"/>
    </xf>
    <xf fontId="8" fillId="0" borderId="6" xfId="0">
      <alignment horizontal="center" vertical="center"/>
    </xf>
    <xf fontId="8" fillId="0" borderId="7" xfId="0">
      <alignment horizontal="center" vertical="center"/>
    </xf>
    <xf fontId="8" fillId="0" borderId="8" xfId="0">
      <alignment horizontal="center" vertical="center"/>
    </xf>
    <xf fontId="8" fillId="0" borderId="9" xfId="0">
      <alignment vertical="center" wrapText="1"/>
    </xf>
    <xf fontId="9" fillId="0" borderId="9" xfId="0">
      <alignment horizontal="center" vertical="center"/>
    </xf>
    <xf fontId="8" fillId="0" borderId="9" xfId="0">
      <alignment vertical="center" wrapText="1"/>
    </xf>
    <xf fontId="8" fillId="0" borderId="10" xfId="0">
      <alignment horizontal="center" vertical="center"/>
    </xf>
    <xf fontId="8" fillId="0" borderId="11" xfId="0">
      <alignment horizontal="center" vertical="center"/>
    </xf>
    <xf fontId="8" fillId="0" borderId="0" xfId="0">
      <alignment horizontal="center" vertical="center"/>
    </xf>
    <xf fontId="8" fillId="0" borderId="12" xfId="0">
      <alignment horizontal="center" vertical="center"/>
    </xf>
    <xf fontId="9" fillId="0" borderId="8" xfId="0">
      <alignment horizontal="center" vertical="center"/>
    </xf>
    <xf fontId="8" fillId="0" borderId="9" xfId="0">
      <alignment vertical="center" wrapText="1"/>
    </xf>
    <xf fontId="8" fillId="0" borderId="9" xfId="0">
      <alignment horizontal="left" vertical="center" wrapText="1"/>
    </xf>
    <xf fontId="8" fillId="0" borderId="9" xfId="0">
      <alignment horizontal="center" vertical="center"/>
    </xf>
    <xf fontId="8" fillId="0" borderId="13" xfId="0">
      <alignment horizontal="center" vertical="center"/>
    </xf>
    <xf fontId="8" fillId="0" borderId="14" xfId="0">
      <alignment horizontal="center" vertical="center"/>
    </xf>
    <xf fontId="8" fillId="0" borderId="15" xfId="0">
      <alignment horizontal="center" vertical="center"/>
    </xf>
    <xf fontId="8" fillId="0" borderId="16" xfId="0">
      <alignment horizontal="center" vertical="center"/>
    </xf>
    <xf fontId="9" fillId="0" borderId="9" xfId="0">
      <alignment horizontal="left" vertical="center" wrapText="1"/>
    </xf>
    <xf numFmtId="0" fontId="6" fillId="0" borderId="0" xfId="0">
      <alignment horizontal="left" vertical="center" wrapText="1"/>
    </xf>
    <xf fontId="10" fillId="11" borderId="0" xfId="0">
      <alignment vertical="center"/>
    </xf>
    <xf fontId="10" fillId="12" borderId="0" xfId="0">
      <alignment vertical="center"/>
    </xf>
    <xf fontId="10" fillId="13" borderId="0" xfId="0">
      <alignment vertical="center"/>
    </xf>
    <xf fontId="10" fillId="14" borderId="0" xfId="0">
      <alignment vertical="center"/>
    </xf>
    <xf fontId="0" fillId="2" borderId="0" xfId="0">
      <alignment vertical="center"/>
    </xf>
    <xf fontId="0" fillId="4" borderId="0" xfId="0">
      <alignment vertical="center"/>
    </xf>
    <xf fontId="0" fillId="10" borderId="0" xfId="0">
      <alignment vertical="center"/>
    </xf>
    <xf fontId="0" fillId="3" borderId="0" xfId="0">
      <alignment vertical="center"/>
    </xf>
    <xf fontId="0" fillId="0" borderId="0" xfId="0">
      <alignment horizontal="left" vertical="center"/>
    </xf>
  </cellXfs>
  <cellStyles>
    <cellStyle name="常规" xfId="0" builtinId="0"/>
  </cellStyles>
  <dxfs count="4">
    <dxf>
      <font>
        <b val="0"/>
        <i val="0"/>
        <strike val="0"/>
      </font>
      <fill>
        <patternFill patternType="solid">
          <fgColor rgb="FFD8D8D8"/>
          <bgColor rgb="FFD8D8D8"/>
        </patternFill>
      </fill>
    </dxf>
    <dxf>
      <font>
        <b val="0"/>
        <i val="0"/>
        <strike val="0"/>
      </font>
      <fill>
        <patternFill patternType="solid">
          <fgColor rgb="FFFFEEAD"/>
          <bgColor rgb="FFFFEEAD"/>
        </patternFill>
      </fill>
    </dxf>
    <dxf>
      <font>
        <b val="0"/>
        <i val="0"/>
        <strike val="0"/>
      </font>
      <fill>
        <patternFill patternType="solid">
          <fgColor rgb="FFF2C7FF"/>
          <bgColor rgb="FFF2C7FF"/>
        </patternFill>
      </fill>
    </dxf>
    <dxf>
      <font>
        <b val="0"/>
        <i val="0"/>
        <strike val="0"/>
      </font>
      <fill>
        <patternFill patternType="solid">
          <fgColor rgb="FFFFC9C7"/>
          <bgColor rgb="FFFFC9C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200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5.53125" style="16" customWidth="1"/>
    <col min="2" max="2" width="12.9414" style="16" customWidth="1"/>
    <col min="3" max="3" width="15.6406" style="16" customWidth="1"/>
    <col min="4" max="7" width="9.30078" style="16" customWidth="1"/>
    <col min="8" max="8" width="76.0742" style="25" customWidth="1"/>
    <col min="9" max="9" width="57.5938" style="25" customWidth="1"/>
    <col min="10" max="26" width="13.6719" style="6"/>
  </cols>
  <sheetData>
    <row r="1" spans="1:26" s="6" customForma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</row>
    <row r="2" spans="1:9">
      <c r="A2" s="5">
        <v>0</v>
      </c>
      <c r="B2" s="5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>
        <v>1</v>
      </c>
      <c r="H2" s="7" t="s">
        <v>15</v>
      </c>
      <c r="I2" s="7" t="s"/>
    </row>
    <row r="3" spans="1:9">
      <c r="A3" s="5">
        <v>0</v>
      </c>
      <c r="B3" s="5" t="s">
        <v>319</v>
      </c>
      <c r="C3" s="5" t="s">
        <v>320</v>
      </c>
      <c r="D3" s="5" t="s">
        <v>18</v>
      </c>
      <c r="E3" s="5" t="s">
        <v>13</v>
      </c>
      <c r="F3" s="5" t="s">
        <v>14</v>
      </c>
      <c r="G3" s="5">
        <v>1</v>
      </c>
      <c r="H3" s="7" t="s">
        <v>19</v>
      </c>
      <c r="I3" s="7" t="s">
        <v>323</v>
      </c>
    </row>
    <row r="4" spans="1:26" s="82" customFormat="1">
      <c r="A4" s="8" t="s"/>
      <c r="B4" s="8" t="s"/>
      <c r="C4" s="8" t="s"/>
      <c r="D4" s="8" t="s"/>
      <c r="E4" s="8" t="s"/>
      <c r="F4" s="8" t="s"/>
      <c r="G4" s="8" t="s"/>
      <c r="H4" s="9" t="s"/>
      <c r="I4" s="9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  <c r="T4" s="10" t="s"/>
      <c r="U4" s="10" t="s"/>
      <c r="V4" s="10" t="s"/>
      <c r="W4" s="10" t="s"/>
      <c r="X4" s="10" t="s"/>
      <c r="Y4" s="10" t="s"/>
      <c r="Z4" s="10" t="s"/>
    </row>
    <row r="5" spans="1:9">
      <c r="A5" s="5">
        <v>1</v>
      </c>
      <c r="B5" s="5" t="s">
        <v>20</v>
      </c>
      <c r="C5" s="5" t="s"/>
      <c r="D5" s="5" t="s">
        <v>12</v>
      </c>
      <c r="E5" s="5" t="s">
        <v>13</v>
      </c>
      <c r="F5" s="5" t="s">
        <v>21</v>
      </c>
      <c r="G5" s="5">
        <v>0</v>
      </c>
      <c r="H5" s="7" t="s">
        <v>22</v>
      </c>
      <c r="I5" s="7" t="s"/>
    </row>
    <row r="6" spans="1:9">
      <c r="A6" s="5">
        <v>2</v>
      </c>
      <c r="B6" s="5" t="s">
        <v>316</v>
      </c>
      <c r="C6" s="5" t="s"/>
      <c r="D6" s="5" t="s">
        <v>12</v>
      </c>
      <c r="E6" s="5" t="s">
        <v>13</v>
      </c>
      <c r="F6" s="5" t="s">
        <v>21</v>
      </c>
      <c r="G6" s="5">
        <v>1</v>
      </c>
      <c r="H6" s="7" t="s">
        <v>24</v>
      </c>
      <c r="I6" s="7" t="s"/>
    </row>
    <row r="7" spans="1:9">
      <c r="A7" s="5">
        <v>3</v>
      </c>
      <c r="B7" s="5" t="s">
        <v>317</v>
      </c>
      <c r="C7" s="5" t="s"/>
      <c r="D7" s="5" t="s">
        <v>12</v>
      </c>
      <c r="E7" s="5" t="s">
        <v>13</v>
      </c>
      <c r="F7" s="5" t="s">
        <v>21</v>
      </c>
      <c r="G7" s="5">
        <v>1</v>
      </c>
      <c r="H7" s="7" t="s">
        <v>26</v>
      </c>
      <c r="I7" s="7" t="s"/>
    </row>
    <row r="8" spans="1:9">
      <c r="A8" s="5">
        <v>4</v>
      </c>
      <c r="B8" s="5" t="s">
        <v>27</v>
      </c>
      <c r="C8" s="5" t="s"/>
      <c r="D8" s="5" t="s">
        <v>12</v>
      </c>
      <c r="E8" s="5" t="s">
        <v>13</v>
      </c>
      <c r="F8" s="5" t="s">
        <v>21</v>
      </c>
      <c r="G8" s="5">
        <v>1</v>
      </c>
      <c r="H8" s="7" t="s">
        <v>28</v>
      </c>
      <c r="I8" s="7" t="s"/>
    </row>
    <row r="9" spans="1:9">
      <c r="A9" s="5">
        <v>5</v>
      </c>
      <c r="B9" s="5" t="s">
        <v>29</v>
      </c>
      <c r="C9" s="5" t="s"/>
      <c r="D9" s="5" t="s">
        <v>12</v>
      </c>
      <c r="E9" s="5" t="s">
        <v>13</v>
      </c>
      <c r="F9" s="5" t="s">
        <v>21</v>
      </c>
      <c r="G9" s="5">
        <v>1</v>
      </c>
      <c r="H9" s="7" t="s">
        <v>30</v>
      </c>
      <c r="I9" s="7" t="s">
        <v>31</v>
      </c>
    </row>
    <row r="10" spans="1:9">
      <c r="A10" s="5">
        <v>6</v>
      </c>
      <c r="B10" s="5" t="s">
        <v>318</v>
      </c>
      <c r="C10" s="5" t="s"/>
      <c r="D10" s="5" t="s">
        <v>12</v>
      </c>
      <c r="E10" s="5" t="s">
        <v>13</v>
      </c>
      <c r="F10" s="5" t="s">
        <v>21</v>
      </c>
      <c r="G10" s="5">
        <v>1</v>
      </c>
      <c r="H10" s="7" t="s">
        <v>33</v>
      </c>
      <c r="I10" s="7" t="s"/>
    </row>
    <row r="11" spans="1:9">
      <c r="A11" s="5">
        <v>7</v>
      </c>
      <c r="B11" s="11" t="s">
        <v>34</v>
      </c>
      <c r="C11" s="11" t="s"/>
      <c r="D11" s="5" t="s">
        <v>12</v>
      </c>
      <c r="E11" s="5" t="s">
        <v>13</v>
      </c>
      <c r="F11" s="5" t="s">
        <v>21</v>
      </c>
      <c r="G11" s="11">
        <v>1</v>
      </c>
      <c r="H11" s="12" t="s">
        <v>35</v>
      </c>
      <c r="I11" s="7" t="s"/>
    </row>
    <row r="12" spans="1:9">
      <c r="A12" s="5">
        <v>8</v>
      </c>
      <c r="B12" s="13" t="s">
        <v>36</v>
      </c>
      <c r="D12" s="13" t="s">
        <v>12</v>
      </c>
      <c r="E12" s="13" t="s">
        <v>13</v>
      </c>
      <c r="F12" s="13" t="s">
        <v>21</v>
      </c>
      <c r="G12" s="13">
        <v>2</v>
      </c>
      <c r="H12" s="14" t="s">
        <v>37</v>
      </c>
      <c r="I12" s="14" t="s">
        <v>38</v>
      </c>
    </row>
    <row r="13" spans="1:9">
      <c r="A13" s="5">
        <v>9</v>
      </c>
      <c r="B13" s="13" t="s">
        <v>39</v>
      </c>
      <c r="C13" s="13" t="s"/>
      <c r="D13" s="13" t="s">
        <v>12</v>
      </c>
      <c r="E13" s="13" t="s">
        <v>13</v>
      </c>
      <c r="F13" s="13" t="s">
        <v>21</v>
      </c>
      <c r="G13" s="13">
        <v>3</v>
      </c>
      <c r="H13" s="14" t="s">
        <v>40</v>
      </c>
      <c r="I13" s="15" t="s">
        <v>41</v>
      </c>
    </row>
    <row r="14" spans="1:9">
      <c r="A14" s="5">
        <v>10</v>
      </c>
      <c r="B14" s="13" t="s">
        <v>42</v>
      </c>
      <c r="C14" s="16" t="s"/>
      <c r="D14" s="13" t="s">
        <v>12</v>
      </c>
      <c r="E14" s="13" t="s">
        <v>13</v>
      </c>
      <c r="F14" s="13" t="s">
        <v>21</v>
      </c>
      <c r="G14" s="13">
        <v>3</v>
      </c>
      <c r="H14" s="14" t="s">
        <v>315</v>
      </c>
      <c r="I14" s="17" t="s"/>
    </row>
    <row r="15" spans="1:9">
      <c r="A15" s="5">
        <v>11</v>
      </c>
      <c r="B15" s="5" t="s">
        <v>44</v>
      </c>
      <c r="C15" s="5" t="s">
        <v>45</v>
      </c>
      <c r="D15" s="5" t="s">
        <v>18</v>
      </c>
      <c r="E15" s="5" t="s">
        <v>13</v>
      </c>
      <c r="F15" s="5" t="s">
        <v>21</v>
      </c>
      <c r="G15" s="5">
        <v>0</v>
      </c>
      <c r="H15" s="7" t="s">
        <v>46</v>
      </c>
      <c r="I15" s="7" t="s"/>
    </row>
    <row r="16" spans="1:9">
      <c r="A16" s="5">
        <v>12</v>
      </c>
      <c r="B16" s="13" t="s">
        <v>47</v>
      </c>
      <c r="C16" s="5" t="s"/>
      <c r="D16" s="5" t="s">
        <v>18</v>
      </c>
      <c r="E16" s="5" t="s">
        <v>13</v>
      </c>
      <c r="F16" s="5" t="s">
        <v>21</v>
      </c>
      <c r="G16" s="5">
        <v>0</v>
      </c>
      <c r="H16" s="7" t="s">
        <v>48</v>
      </c>
      <c r="I16" s="7" t="s"/>
    </row>
    <row r="17" spans="1:9">
      <c r="A17" s="5">
        <v>13</v>
      </c>
      <c r="B17" s="18" t="s">
        <v>49</v>
      </c>
      <c r="C17" s="5" t="s"/>
      <c r="D17" s="5" t="s">
        <v>18</v>
      </c>
      <c r="E17" s="5" t="s">
        <v>13</v>
      </c>
      <c r="F17" s="5" t="s">
        <v>21</v>
      </c>
      <c r="G17" s="5">
        <v>1</v>
      </c>
      <c r="H17" s="7" t="s">
        <v>50</v>
      </c>
      <c r="I17" s="7" t="s"/>
    </row>
    <row r="18" spans="1:9">
      <c r="A18" s="5">
        <v>14</v>
      </c>
      <c r="B18" s="5" t="s">
        <v>51</v>
      </c>
      <c r="C18" s="5" t="s">
        <v>52</v>
      </c>
      <c r="D18" s="5" t="s">
        <v>18</v>
      </c>
      <c r="E18" s="5" t="s">
        <v>13</v>
      </c>
      <c r="F18" s="5" t="s">
        <v>21</v>
      </c>
      <c r="G18" s="5">
        <v>1</v>
      </c>
      <c r="H18" s="7" t="s">
        <v>53</v>
      </c>
      <c r="I18" s="19" t="s"/>
    </row>
    <row r="19" spans="1:9">
      <c r="A19" s="5">
        <v>15</v>
      </c>
      <c r="B19" s="5" t="s">
        <v>54</v>
      </c>
      <c r="C19" s="5" t="s">
        <v>55</v>
      </c>
      <c r="D19" s="5" t="s">
        <v>18</v>
      </c>
      <c r="E19" s="5" t="s">
        <v>13</v>
      </c>
      <c r="F19" s="5" t="s">
        <v>21</v>
      </c>
      <c r="G19" s="5">
        <v>1</v>
      </c>
      <c r="H19" s="7" t="s">
        <v>56</v>
      </c>
      <c r="I19" s="7" t="s">
        <v>57</v>
      </c>
    </row>
    <row r="20" spans="1:9">
      <c r="A20" s="5">
        <v>16</v>
      </c>
      <c r="B20" s="5" t="s">
        <v>58</v>
      </c>
      <c r="C20" s="5" t="s"/>
      <c r="D20" s="5" t="s">
        <v>18</v>
      </c>
      <c r="E20" s="5" t="s">
        <v>13</v>
      </c>
      <c r="F20" s="5" t="s">
        <v>21</v>
      </c>
      <c r="G20" s="5">
        <v>1</v>
      </c>
      <c r="H20" s="7" t="s">
        <v>59</v>
      </c>
      <c r="I20" s="7" t="s"/>
    </row>
    <row r="21" spans="1:9">
      <c r="A21" s="5">
        <v>17</v>
      </c>
      <c r="B21" s="5" t="s">
        <v>60</v>
      </c>
      <c r="C21" s="5" t="s"/>
      <c r="D21" s="5" t="s">
        <v>18</v>
      </c>
      <c r="E21" s="5" t="s">
        <v>13</v>
      </c>
      <c r="F21" s="5" t="s">
        <v>21</v>
      </c>
      <c r="G21" s="5">
        <v>1</v>
      </c>
      <c r="H21" s="7" t="s">
        <v>61</v>
      </c>
      <c r="I21" s="7" t="s"/>
    </row>
    <row r="22" spans="1:9">
      <c r="A22" s="5">
        <v>18</v>
      </c>
      <c r="B22" s="5" t="s">
        <v>62</v>
      </c>
      <c r="C22" s="5" t="s"/>
      <c r="D22" s="5" t="s">
        <v>18</v>
      </c>
      <c r="E22" s="5" t="s">
        <v>13</v>
      </c>
      <c r="F22" s="5" t="s">
        <v>21</v>
      </c>
      <c r="G22" s="5">
        <v>1</v>
      </c>
      <c r="H22" s="7" t="s">
        <v>309</v>
      </c>
      <c r="I22" s="7" t="s"/>
    </row>
    <row r="23" spans="1:9">
      <c r="A23" s="5">
        <v>19</v>
      </c>
      <c r="B23" s="13" t="s">
        <v>322</v>
      </c>
      <c r="C23" s="13" t="s">
        <v>321</v>
      </c>
      <c r="D23" s="13" t="s">
        <v>18</v>
      </c>
      <c r="E23" s="13" t="s">
        <v>13</v>
      </c>
      <c r="F23" s="13" t="s">
        <v>21</v>
      </c>
      <c r="G23" s="13">
        <v>2</v>
      </c>
      <c r="H23" s="14" t="s">
        <v>65</v>
      </c>
      <c r="I23" s="7" t="s"/>
    </row>
    <row r="24" spans="1:9">
      <c r="A24" s="5">
        <v>20</v>
      </c>
      <c r="B24" s="13" t="s">
        <v>66</v>
      </c>
      <c r="C24" s="13" t="s">
        <v>67</v>
      </c>
      <c r="D24" s="13" t="s">
        <v>18</v>
      </c>
      <c r="E24" s="13" t="s">
        <v>13</v>
      </c>
      <c r="F24" s="13" t="s">
        <v>21</v>
      </c>
      <c r="G24" s="13">
        <v>3</v>
      </c>
      <c r="H24" s="14" t="s">
        <v>68</v>
      </c>
      <c r="I24" s="7" t="s"/>
    </row>
    <row r="25" spans="1:26" s="83" customFormat="1">
      <c r="A25" s="20" t="s"/>
      <c r="B25" s="20" t="s"/>
      <c r="C25" s="20" t="s"/>
      <c r="D25" s="20" t="s"/>
      <c r="E25" s="20" t="s"/>
      <c r="F25" s="20" t="s"/>
      <c r="G25" s="20" t="s"/>
      <c r="H25" s="21" t="s"/>
      <c r="I25" s="22" t="s"/>
      <c r="J25" s="23" t="s"/>
      <c r="K25" s="23" t="s"/>
      <c r="L25" s="23" t="s"/>
      <c r="M25" s="23" t="s"/>
      <c r="N25" s="23" t="s"/>
      <c r="O25" s="23" t="s"/>
      <c r="P25" s="23" t="s"/>
      <c r="Q25" s="23" t="s"/>
      <c r="R25" s="23" t="s"/>
      <c r="S25" s="23" t="s"/>
      <c r="T25" s="23" t="s"/>
      <c r="U25" s="23" t="s"/>
      <c r="V25" s="23" t="s"/>
      <c r="W25" s="23" t="s"/>
      <c r="X25" s="23" t="s"/>
      <c r="Y25" s="23" t="s"/>
      <c r="Z25" s="23" t="s"/>
    </row>
    <row r="26" spans="1:9">
      <c r="A26" s="5">
        <v>21</v>
      </c>
      <c r="B26" s="5" t="s">
        <v>69</v>
      </c>
      <c r="C26" s="5" t="s"/>
      <c r="D26" s="5" t="s">
        <v>12</v>
      </c>
      <c r="E26" s="13" t="s">
        <v>13</v>
      </c>
      <c r="F26" s="5" t="s">
        <v>70</v>
      </c>
      <c r="G26" s="5">
        <v>0</v>
      </c>
      <c r="H26" s="14" t="s">
        <v>71</v>
      </c>
      <c r="I26" s="7" t="s"/>
    </row>
    <row r="27" spans="1:9">
      <c r="A27" s="5">
        <v>22</v>
      </c>
      <c r="B27" s="5" t="s">
        <v>72</v>
      </c>
      <c r="C27" s="5" t="s"/>
      <c r="D27" s="5" t="s">
        <v>12</v>
      </c>
      <c r="E27" s="5" t="s">
        <v>13</v>
      </c>
      <c r="F27" s="5" t="s">
        <v>70</v>
      </c>
      <c r="G27" s="5">
        <v>1</v>
      </c>
      <c r="H27" s="7" t="s">
        <v>73</v>
      </c>
      <c r="I27" s="7" t="s"/>
    </row>
    <row r="28" spans="1:9">
      <c r="A28" s="5">
        <v>23</v>
      </c>
      <c r="B28" s="5" t="s">
        <v>74</v>
      </c>
      <c r="C28" s="5" t="s"/>
      <c r="D28" s="5" t="s">
        <v>12</v>
      </c>
      <c r="E28" s="5" t="s">
        <v>13</v>
      </c>
      <c r="F28" s="5" t="s">
        <v>70</v>
      </c>
      <c r="G28" s="5">
        <v>1</v>
      </c>
      <c r="H28" s="7" t="s">
        <v>75</v>
      </c>
      <c r="I28" s="7" t="s"/>
    </row>
    <row r="29" spans="1:9">
      <c r="A29" s="5">
        <v>24</v>
      </c>
      <c r="B29" s="5" t="s">
        <v>76</v>
      </c>
      <c r="C29" s="5" t="s"/>
      <c r="D29" s="5" t="s">
        <v>12</v>
      </c>
      <c r="E29" s="5" t="s">
        <v>13</v>
      </c>
      <c r="F29" s="5" t="s">
        <v>70</v>
      </c>
      <c r="G29" s="5">
        <v>1</v>
      </c>
      <c r="H29" s="24" t="s">
        <v>77</v>
      </c>
      <c r="I29" s="7" t="s">
        <v>78</v>
      </c>
    </row>
    <row r="30" spans="1:8">
      <c r="A30" s="5">
        <v>25</v>
      </c>
      <c r="B30" s="16" t="s">
        <v>79</v>
      </c>
      <c r="C30" s="16" t="s"/>
      <c r="D30" s="13" t="s">
        <v>12</v>
      </c>
      <c r="E30" s="13" t="s">
        <v>13</v>
      </c>
      <c r="F30" s="13" t="s">
        <v>70</v>
      </c>
      <c r="G30" s="16">
        <v>1</v>
      </c>
      <c r="H30" s="25" t="s">
        <v>80</v>
      </c>
    </row>
    <row r="31" spans="1:9">
      <c r="A31" s="5">
        <v>26</v>
      </c>
      <c r="B31" s="16" t="s">
        <v>81</v>
      </c>
      <c r="C31" s="16" t="s"/>
      <c r="D31" s="13" t="s">
        <v>12</v>
      </c>
      <c r="E31" s="13" t="s">
        <v>13</v>
      </c>
      <c r="F31" s="13" t="s">
        <v>70</v>
      </c>
      <c r="G31" s="16">
        <v>1</v>
      </c>
      <c r="H31" s="25" t="s">
        <v>82</v>
      </c>
      <c r="I31" s="7" t="s"/>
    </row>
    <row r="32" spans="1:9">
      <c r="A32" s="5">
        <v>27</v>
      </c>
      <c r="B32" s="13" t="s">
        <v>83</v>
      </c>
      <c r="C32" s="26" t="s">
        <v>84</v>
      </c>
      <c r="D32" s="5" t="s">
        <v>12</v>
      </c>
      <c r="E32" s="5" t="s">
        <v>13</v>
      </c>
      <c r="F32" s="5" t="s">
        <v>70</v>
      </c>
      <c r="G32" s="5">
        <v>2</v>
      </c>
      <c r="H32" s="7" t="s">
        <v>85</v>
      </c>
      <c r="I32" s="7" t="s"/>
    </row>
    <row r="33" spans="1:9">
      <c r="A33" s="13">
        <v>28</v>
      </c>
      <c r="B33" s="13" t="s">
        <v>86</v>
      </c>
      <c r="C33" s="5" t="s"/>
      <c r="D33" s="5" t="s">
        <v>12</v>
      </c>
      <c r="E33" s="5" t="s">
        <v>13</v>
      </c>
      <c r="F33" s="5" t="s">
        <v>70</v>
      </c>
      <c r="G33" s="5">
        <v>2</v>
      </c>
      <c r="H33" s="7" t="s">
        <v>87</v>
      </c>
      <c r="I33" s="15" t="s">
        <v>88</v>
      </c>
    </row>
    <row r="34" spans="1:9">
      <c r="A34" s="5">
        <v>29</v>
      </c>
      <c r="B34" s="18" t="s">
        <v>89</v>
      </c>
      <c r="C34" s="5" t="s"/>
      <c r="D34" s="5" t="s">
        <v>12</v>
      </c>
      <c r="E34" s="5" t="s">
        <v>13</v>
      </c>
      <c r="F34" s="5" t="s">
        <v>70</v>
      </c>
      <c r="G34" s="5">
        <v>2</v>
      </c>
      <c r="H34" s="7" t="s">
        <v>90</v>
      </c>
      <c r="I34" s="7" t="s"/>
    </row>
    <row r="35" spans="1:9">
      <c r="A35" s="5">
        <v>30</v>
      </c>
      <c r="B35" s="5" t="s">
        <v>91</v>
      </c>
      <c r="C35" s="5" t="s"/>
      <c r="D35" s="5" t="s">
        <v>12</v>
      </c>
      <c r="E35" s="5" t="s">
        <v>13</v>
      </c>
      <c r="F35" s="5" t="s">
        <v>70</v>
      </c>
      <c r="G35" s="5">
        <v>2</v>
      </c>
      <c r="H35" s="7" t="s">
        <v>92</v>
      </c>
      <c r="I35" s="7" t="s"/>
    </row>
    <row r="36" spans="1:9">
      <c r="A36" s="5">
        <v>31</v>
      </c>
      <c r="B36" s="16" t="s">
        <v>93</v>
      </c>
      <c r="C36" s="16" t="s"/>
      <c r="D36" s="13" t="s">
        <v>12</v>
      </c>
      <c r="E36" s="13" t="s">
        <v>13</v>
      </c>
      <c r="F36" s="13" t="s">
        <v>70</v>
      </c>
      <c r="G36" s="16">
        <v>3</v>
      </c>
      <c r="H36" s="25" t="s">
        <v>94</v>
      </c>
      <c r="I36" s="7" t="s"/>
    </row>
    <row r="37" spans="1:9">
      <c r="A37" s="5">
        <v>32</v>
      </c>
      <c r="B37" s="13" t="s">
        <v>95</v>
      </c>
      <c r="C37" s="13" t="s">
        <v>96</v>
      </c>
      <c r="D37" s="13" t="s">
        <v>12</v>
      </c>
      <c r="E37" s="13" t="s">
        <v>13</v>
      </c>
      <c r="F37" s="13" t="s">
        <v>70</v>
      </c>
      <c r="G37" s="13">
        <v>4</v>
      </c>
      <c r="H37" s="14" t="s">
        <v>97</v>
      </c>
      <c r="I37" s="7" t="s"/>
    </row>
    <row r="38" spans="1:9">
      <c r="A38" s="5">
        <v>33</v>
      </c>
      <c r="B38" s="13" t="s">
        <v>98</v>
      </c>
      <c r="C38" s="13" t="s">
        <v>99</v>
      </c>
      <c r="D38" s="13" t="s">
        <v>18</v>
      </c>
      <c r="E38" s="13" t="s">
        <v>13</v>
      </c>
      <c r="F38" s="13" t="s">
        <v>70</v>
      </c>
      <c r="G38" s="13">
        <v>0</v>
      </c>
      <c r="H38" s="14" t="s">
        <v>100</v>
      </c>
      <c r="I38" s="7" t="s"/>
    </row>
    <row r="39" spans="1:9">
      <c r="A39" s="5">
        <v>34</v>
      </c>
      <c r="B39" s="13" t="s">
        <v>101</v>
      </c>
      <c r="C39" s="13" t="s"/>
      <c r="D39" s="13" t="s">
        <v>18</v>
      </c>
      <c r="E39" s="13" t="s">
        <v>13</v>
      </c>
      <c r="F39" s="13" t="s">
        <v>70</v>
      </c>
      <c r="G39" s="13">
        <v>0</v>
      </c>
      <c r="H39" s="14" t="s">
        <v>102</v>
      </c>
      <c r="I39" s="7" t="s"/>
    </row>
    <row r="40" spans="1:9">
      <c r="A40" s="5">
        <v>35</v>
      </c>
      <c r="B40" s="16" t="s">
        <v>103</v>
      </c>
      <c r="C40" s="13" t="s"/>
      <c r="D40" s="13" t="s">
        <v>18</v>
      </c>
      <c r="E40" s="13" t="s">
        <v>13</v>
      </c>
      <c r="F40" s="13" t="s">
        <v>70</v>
      </c>
      <c r="G40" s="13">
        <v>0</v>
      </c>
      <c r="H40" s="27" t="s">
        <v>104</v>
      </c>
      <c r="I40" s="7" t="s"/>
    </row>
    <row r="41" spans="1:9">
      <c r="A41" s="5">
        <v>36</v>
      </c>
      <c r="B41" s="28" t="s">
        <v>105</v>
      </c>
      <c r="C41" s="16" t="s"/>
      <c r="D41" s="28" t="s">
        <v>18</v>
      </c>
      <c r="E41" s="13" t="s">
        <v>13</v>
      </c>
      <c r="F41" s="13" t="s">
        <v>70</v>
      </c>
      <c r="G41" s="16">
        <v>0</v>
      </c>
      <c r="H41" s="27" t="s">
        <v>106</v>
      </c>
      <c r="I41" s="27" t="s">
        <v>329</v>
      </c>
    </row>
    <row r="42" spans="1:9">
      <c r="A42" s="5">
        <v>37</v>
      </c>
      <c r="B42" s="5" t="s">
        <v>107</v>
      </c>
      <c r="C42" s="5" t="s">
        <v>108</v>
      </c>
      <c r="D42" s="5" t="s">
        <v>18</v>
      </c>
      <c r="E42" s="5" t="s">
        <v>13</v>
      </c>
      <c r="F42" s="5" t="s">
        <v>70</v>
      </c>
      <c r="G42" s="5">
        <v>1</v>
      </c>
      <c r="H42" s="7" t="s">
        <v>109</v>
      </c>
      <c r="I42" s="7" t="s"/>
    </row>
    <row r="43" spans="1:9">
      <c r="A43" s="5">
        <v>38</v>
      </c>
      <c r="B43" s="13" t="s">
        <v>110</v>
      </c>
      <c r="C43" s="29" t="s">
        <v>111</v>
      </c>
      <c r="D43" s="13" t="s">
        <v>18</v>
      </c>
      <c r="E43" s="13" t="s">
        <v>13</v>
      </c>
      <c r="F43" s="13" t="s">
        <v>70</v>
      </c>
      <c r="G43" s="13">
        <v>1</v>
      </c>
      <c r="H43" s="14" t="s">
        <v>112</v>
      </c>
      <c r="I43" s="7" t="s"/>
    </row>
    <row r="44" spans="1:9">
      <c r="A44" s="5">
        <v>39</v>
      </c>
      <c r="B44" s="13" t="s">
        <v>113</v>
      </c>
      <c r="C44" s="29" t="s">
        <v>114</v>
      </c>
      <c r="D44" s="13" t="s">
        <v>18</v>
      </c>
      <c r="E44" s="13" t="s">
        <v>13</v>
      </c>
      <c r="F44" s="13" t="s">
        <v>70</v>
      </c>
      <c r="G44" s="13">
        <v>1</v>
      </c>
      <c r="H44" s="14" t="s">
        <v>115</v>
      </c>
      <c r="I44" s="7" t="s"/>
    </row>
    <row r="45" spans="1:9">
      <c r="A45" s="5">
        <v>40</v>
      </c>
      <c r="B45" s="30" t="s">
        <v>116</v>
      </c>
      <c r="C45" s="5" t="s"/>
      <c r="D45" s="5" t="s">
        <v>18</v>
      </c>
      <c r="E45" s="5" t="s">
        <v>13</v>
      </c>
      <c r="F45" s="5" t="s">
        <v>70</v>
      </c>
      <c r="G45" s="5">
        <v>1</v>
      </c>
      <c r="H45" s="31" t="s">
        <v>117</v>
      </c>
      <c r="I45" s="14" t="s">
        <v>118</v>
      </c>
    </row>
    <row r="46" spans="1:8">
      <c r="A46" s="5">
        <v>41</v>
      </c>
      <c r="B46" s="13" t="s">
        <v>119</v>
      </c>
      <c r="C46" s="32" t="s"/>
      <c r="D46" s="16" t="s">
        <v>18</v>
      </c>
      <c r="E46" s="13" t="s">
        <v>13</v>
      </c>
      <c r="F46" s="13" t="s">
        <v>70</v>
      </c>
      <c r="G46" s="13">
        <v>1</v>
      </c>
      <c r="H46" s="14" t="s">
        <v>120</v>
      </c>
    </row>
    <row r="47" spans="1:9">
      <c r="A47" s="5">
        <v>42</v>
      </c>
      <c r="B47" s="18" t="s">
        <v>121</v>
      </c>
      <c r="C47" s="5" t="s"/>
      <c r="D47" s="5" t="s">
        <v>18</v>
      </c>
      <c r="E47" s="5" t="s">
        <v>13</v>
      </c>
      <c r="F47" s="5" t="s">
        <v>70</v>
      </c>
      <c r="G47" s="5">
        <v>1</v>
      </c>
      <c r="H47" s="7" t="s">
        <v>122</v>
      </c>
      <c r="I47" s="7" t="s"/>
    </row>
    <row r="48" spans="1:9">
      <c r="A48" s="5">
        <v>43</v>
      </c>
      <c r="B48" s="13" t="s">
        <v>123</v>
      </c>
      <c r="C48" s="13" t="s">
        <v>124</v>
      </c>
      <c r="D48" s="13" t="s">
        <v>18</v>
      </c>
      <c r="E48" s="13" t="s">
        <v>13</v>
      </c>
      <c r="F48" s="13" t="s">
        <v>70</v>
      </c>
      <c r="G48" s="13">
        <v>2</v>
      </c>
      <c r="H48" s="14" t="s">
        <v>125</v>
      </c>
      <c r="I48" s="15" t="s">
        <v>126</v>
      </c>
    </row>
    <row r="49" spans="1:9">
      <c r="A49" s="5">
        <v>44</v>
      </c>
      <c r="B49" s="13" t="s">
        <v>127</v>
      </c>
      <c r="C49" s="29" t="s">
        <v>128</v>
      </c>
      <c r="D49" s="13" t="s">
        <v>18</v>
      </c>
      <c r="E49" s="13" t="s">
        <v>13</v>
      </c>
      <c r="F49" s="13" t="s">
        <v>70</v>
      </c>
      <c r="G49" s="13">
        <v>2</v>
      </c>
      <c r="H49" s="14" t="s">
        <v>129</v>
      </c>
      <c r="I49" s="7" t="s"/>
    </row>
    <row r="50" spans="1:9">
      <c r="A50" s="5">
        <v>45</v>
      </c>
      <c r="B50" s="28" t="s">
        <v>130</v>
      </c>
      <c r="D50" s="13" t="s">
        <v>18</v>
      </c>
      <c r="E50" s="13" t="s">
        <v>13</v>
      </c>
      <c r="F50" s="13" t="s">
        <v>70</v>
      </c>
      <c r="G50" s="16">
        <v>3</v>
      </c>
      <c r="H50" s="27" t="s">
        <v>131</v>
      </c>
      <c r="I50" s="7" t="s">
        <v>132</v>
      </c>
    </row>
    <row r="51" spans="1:9">
      <c r="A51" s="5">
        <v>46</v>
      </c>
      <c r="B51" s="5" t="s">
        <v>133</v>
      </c>
      <c r="C51" s="5" t="s"/>
      <c r="D51" s="5" t="s">
        <v>18</v>
      </c>
      <c r="E51" s="5" t="s">
        <v>13</v>
      </c>
      <c r="F51" s="5" t="s">
        <v>70</v>
      </c>
      <c r="G51" s="5" t="s">
        <v>134</v>
      </c>
      <c r="H51" s="7" t="s">
        <v>135</v>
      </c>
      <c r="I51" s="7" t="s"/>
    </row>
    <row r="52" spans="1:9">
      <c r="A52" s="5">
        <v>47</v>
      </c>
      <c r="B52" s="5" t="s">
        <v>136</v>
      </c>
      <c r="C52" s="11" t="s"/>
      <c r="D52" s="5" t="s">
        <v>137</v>
      </c>
      <c r="E52" s="5" t="s">
        <v>13</v>
      </c>
      <c r="F52" s="5" t="s">
        <v>70</v>
      </c>
      <c r="G52" s="5">
        <v>1</v>
      </c>
      <c r="H52" s="15" t="s">
        <v>138</v>
      </c>
      <c r="I52" s="7" t="s"/>
    </row>
    <row r="53" spans="1:9">
      <c r="A53" s="5">
        <v>48</v>
      </c>
      <c r="B53" s="5" t="s">
        <v>139</v>
      </c>
      <c r="C53" s="33" t="s">
        <v>140</v>
      </c>
      <c r="D53" s="5" t="s">
        <v>137</v>
      </c>
      <c r="E53" s="5" t="s">
        <v>13</v>
      </c>
      <c r="F53" s="5" t="s">
        <v>70</v>
      </c>
      <c r="G53" s="5">
        <v>1</v>
      </c>
      <c r="H53" s="7" t="s">
        <v>141</v>
      </c>
      <c r="I53" s="7" t="s"/>
    </row>
    <row r="54" spans="1:9">
      <c r="A54" s="5">
        <v>49</v>
      </c>
      <c r="B54" s="5" t="s">
        <v>142</v>
      </c>
      <c r="C54" s="33" t="s">
        <v>143</v>
      </c>
      <c r="D54" s="5" t="s">
        <v>137</v>
      </c>
      <c r="E54" s="5" t="s">
        <v>13</v>
      </c>
      <c r="F54" s="5" t="s">
        <v>70</v>
      </c>
      <c r="G54" s="5">
        <v>1</v>
      </c>
      <c r="H54" s="7" t="s">
        <v>144</v>
      </c>
      <c r="I54" s="7" t="s"/>
    </row>
    <row r="55" spans="1:9">
      <c r="A55" s="5">
        <v>50</v>
      </c>
      <c r="B55" s="5" t="s">
        <v>145</v>
      </c>
      <c r="C55" s="5" t="s"/>
      <c r="D55" s="5" t="s">
        <v>137</v>
      </c>
      <c r="E55" s="5" t="s">
        <v>13</v>
      </c>
      <c r="F55" s="5" t="s">
        <v>70</v>
      </c>
      <c r="G55" s="5">
        <v>1</v>
      </c>
      <c r="H55" s="7" t="s">
        <v>146</v>
      </c>
      <c r="I55" s="7" t="s"/>
    </row>
    <row r="56" spans="1:9">
      <c r="A56" s="5">
        <v>51</v>
      </c>
      <c r="B56" s="5" t="s">
        <v>147</v>
      </c>
      <c r="C56" s="5" t="s"/>
      <c r="D56" s="5" t="s">
        <v>137</v>
      </c>
      <c r="E56" s="5" t="s">
        <v>13</v>
      </c>
      <c r="F56" s="5" t="s">
        <v>70</v>
      </c>
      <c r="G56" s="5">
        <v>1</v>
      </c>
      <c r="H56" s="7" t="s">
        <v>310</v>
      </c>
      <c r="I56" s="7" t="s"/>
    </row>
    <row r="57" spans="1:8">
      <c r="A57" s="5">
        <v>52</v>
      </c>
      <c r="B57" s="28" t="s">
        <v>149</v>
      </c>
      <c r="D57" s="28" t="s">
        <v>137</v>
      </c>
      <c r="E57" s="28" t="s">
        <v>13</v>
      </c>
      <c r="F57" s="28" t="s">
        <v>70</v>
      </c>
      <c r="G57" s="16">
        <v>1</v>
      </c>
      <c r="H57" s="27" t="s">
        <v>150</v>
      </c>
    </row>
    <row r="58" spans="1:9">
      <c r="A58" s="5">
        <v>53</v>
      </c>
      <c r="B58" s="5" t="s">
        <v>151</v>
      </c>
      <c r="C58" s="5" t="s"/>
      <c r="D58" s="5" t="s">
        <v>137</v>
      </c>
      <c r="E58" s="5" t="s">
        <v>13</v>
      </c>
      <c r="F58" s="5" t="s">
        <v>70</v>
      </c>
      <c r="G58" s="5">
        <v>1</v>
      </c>
      <c r="H58" s="7" t="s">
        <v>152</v>
      </c>
      <c r="I58" s="7" t="s"/>
    </row>
    <row r="59" spans="1:8">
      <c r="A59" s="5">
        <v>54</v>
      </c>
      <c r="B59" s="13" t="s">
        <v>153</v>
      </c>
      <c r="C59" s="16" t="s"/>
      <c r="D59" s="13" t="s">
        <v>137</v>
      </c>
      <c r="E59" s="13" t="s">
        <v>13</v>
      </c>
      <c r="F59" s="13" t="s">
        <v>70</v>
      </c>
      <c r="G59" s="13">
        <v>1</v>
      </c>
      <c r="H59" s="14" t="s">
        <v>154</v>
      </c>
    </row>
    <row r="60" spans="1:9">
      <c r="A60" s="5">
        <v>55</v>
      </c>
      <c r="B60" s="5" t="s">
        <v>155</v>
      </c>
      <c r="C60" s="5" t="s">
        <v>156</v>
      </c>
      <c r="D60" s="5" t="s">
        <v>137</v>
      </c>
      <c r="E60" s="5" t="s">
        <v>13</v>
      </c>
      <c r="F60" s="5" t="s">
        <v>70</v>
      </c>
      <c r="G60" s="5">
        <v>2</v>
      </c>
      <c r="H60" s="15" t="s">
        <v>157</v>
      </c>
      <c r="I60" s="7" t="s"/>
    </row>
    <row r="61" spans="1:26" s="84" customFormat="1">
      <c r="A61" s="34" t="s"/>
      <c r="B61" s="34" t="s"/>
      <c r="C61" s="34" t="s"/>
      <c r="D61" s="34" t="s"/>
      <c r="E61" s="34" t="s"/>
      <c r="F61" s="34" t="s"/>
      <c r="G61" s="34" t="s"/>
      <c r="H61" s="35" t="s"/>
      <c r="I61" s="35" t="s"/>
      <c r="J61" s="36" t="s"/>
      <c r="K61" s="36" t="s"/>
      <c r="L61" s="36" t="s"/>
      <c r="M61" s="36" t="s"/>
      <c r="N61" s="36" t="s"/>
      <c r="O61" s="36" t="s"/>
      <c r="P61" s="36" t="s"/>
      <c r="Q61" s="36" t="s"/>
      <c r="R61" s="36" t="s"/>
      <c r="S61" s="36" t="s"/>
      <c r="T61" s="36" t="s"/>
      <c r="U61" s="36" t="s"/>
      <c r="V61" s="36" t="s"/>
      <c r="W61" s="36" t="s"/>
      <c r="X61" s="36" t="s"/>
      <c r="Y61" s="36" t="s"/>
      <c r="Z61" s="36" t="s"/>
    </row>
    <row r="62" spans="1:9">
      <c r="A62" s="5">
        <v>56</v>
      </c>
      <c r="B62" s="5" t="s">
        <v>158</v>
      </c>
      <c r="C62" s="5" t="s"/>
      <c r="D62" s="5" t="s">
        <v>12</v>
      </c>
      <c r="E62" s="5" t="s">
        <v>13</v>
      </c>
      <c r="F62" s="5" t="s">
        <v>159</v>
      </c>
      <c r="G62" s="5">
        <v>0</v>
      </c>
      <c r="H62" s="7" t="s">
        <v>160</v>
      </c>
      <c r="I62" s="7" t="s"/>
    </row>
    <row r="63" spans="1:9">
      <c r="A63" s="5">
        <v>57</v>
      </c>
      <c r="B63" s="5" t="s">
        <v>161</v>
      </c>
      <c r="C63" s="5" t="s"/>
      <c r="D63" s="5" t="s">
        <v>12</v>
      </c>
      <c r="E63" s="5" t="s">
        <v>13</v>
      </c>
      <c r="F63" s="5" t="s">
        <v>159</v>
      </c>
      <c r="G63" s="5">
        <v>1</v>
      </c>
      <c r="H63" s="7" t="s">
        <v>162</v>
      </c>
      <c r="I63" s="7" t="s"/>
    </row>
    <row r="64" spans="1:9">
      <c r="A64" s="5">
        <v>58</v>
      </c>
      <c r="B64" s="5" t="s">
        <v>163</v>
      </c>
      <c r="C64" s="5" t="s"/>
      <c r="D64" s="5" t="s">
        <v>12</v>
      </c>
      <c r="E64" s="5" t="s">
        <v>13</v>
      </c>
      <c r="F64" s="5" t="s">
        <v>159</v>
      </c>
      <c r="G64" s="5">
        <v>2</v>
      </c>
      <c r="H64" s="7" t="s">
        <v>164</v>
      </c>
      <c r="I64" s="7" t="s"/>
    </row>
    <row r="65" spans="1:9">
      <c r="A65" s="5">
        <v>59</v>
      </c>
      <c r="B65" s="5" t="s">
        <v>165</v>
      </c>
      <c r="C65" s="5" t="s">
        <v>166</v>
      </c>
      <c r="D65" s="5" t="s">
        <v>12</v>
      </c>
      <c r="E65" s="5" t="s">
        <v>13</v>
      </c>
      <c r="F65" s="5" t="s">
        <v>159</v>
      </c>
      <c r="G65" s="5">
        <v>3</v>
      </c>
      <c r="H65" s="7" t="s">
        <v>167</v>
      </c>
      <c r="I65" s="7" t="s"/>
    </row>
    <row r="66" spans="1:9">
      <c r="A66" s="5">
        <v>60</v>
      </c>
      <c r="B66" s="13" t="s">
        <v>168</v>
      </c>
      <c r="C66" s="13" t="s"/>
      <c r="D66" s="13" t="s">
        <v>12</v>
      </c>
      <c r="E66" s="13" t="s">
        <v>13</v>
      </c>
      <c r="F66" s="13" t="s">
        <v>159</v>
      </c>
      <c r="G66" s="13">
        <v>3</v>
      </c>
      <c r="H66" s="14" t="s">
        <v>169</v>
      </c>
      <c r="I66" s="7" t="s"/>
    </row>
    <row r="67" spans="1:9">
      <c r="A67" s="5">
        <v>61</v>
      </c>
      <c r="B67" s="5" t="s">
        <v>170</v>
      </c>
      <c r="C67" s="5" t="s">
        <v>171</v>
      </c>
      <c r="D67" s="5" t="s">
        <v>12</v>
      </c>
      <c r="E67" s="5" t="s">
        <v>13</v>
      </c>
      <c r="F67" s="5" t="s">
        <v>159</v>
      </c>
      <c r="G67" s="5">
        <v>5</v>
      </c>
      <c r="H67" s="7" t="s">
        <v>172</v>
      </c>
      <c r="I67" s="7" t="s"/>
    </row>
    <row r="68" spans="1:9">
      <c r="A68" s="5">
        <v>62</v>
      </c>
      <c r="B68" s="5" t="s">
        <v>173</v>
      </c>
      <c r="C68" s="5" t="s">
        <v>174</v>
      </c>
      <c r="D68" s="5" t="s">
        <v>12</v>
      </c>
      <c r="E68" s="5" t="s">
        <v>13</v>
      </c>
      <c r="F68" s="5" t="s">
        <v>159</v>
      </c>
      <c r="G68" s="5">
        <v>6</v>
      </c>
      <c r="H68" s="14" t="s">
        <v>175</v>
      </c>
      <c r="I68" s="7" t="s"/>
    </row>
    <row r="69" spans="1:9">
      <c r="A69" s="5">
        <v>63</v>
      </c>
      <c r="B69" s="28" t="s">
        <v>176</v>
      </c>
      <c r="D69" s="28" t="s">
        <v>18</v>
      </c>
      <c r="E69" s="13" t="s">
        <v>13</v>
      </c>
      <c r="F69" s="13" t="s">
        <v>159</v>
      </c>
      <c r="G69" s="16">
        <v>0</v>
      </c>
      <c r="H69" s="27" t="s">
        <v>177</v>
      </c>
      <c r="I69" s="27" t="s">
        <v>178</v>
      </c>
    </row>
    <row r="70" spans="1:9">
      <c r="A70" s="5">
        <v>64</v>
      </c>
      <c r="B70" s="13" t="s">
        <v>179</v>
      </c>
      <c r="C70" s="13" t="s"/>
      <c r="D70" s="13" t="s">
        <v>18</v>
      </c>
      <c r="E70" s="13" t="s">
        <v>13</v>
      </c>
      <c r="F70" s="13" t="s">
        <v>159</v>
      </c>
      <c r="G70" s="13">
        <v>0</v>
      </c>
      <c r="H70" s="14" t="s">
        <v>180</v>
      </c>
      <c r="I70" s="7" t="s">
        <v>88</v>
      </c>
    </row>
    <row r="71" spans="1:9">
      <c r="A71" s="5">
        <v>65</v>
      </c>
      <c r="B71" s="28" t="s">
        <v>181</v>
      </c>
      <c r="D71" s="13" t="s">
        <v>18</v>
      </c>
      <c r="E71" s="13" t="s">
        <v>13</v>
      </c>
      <c r="F71" s="13" t="s">
        <v>159</v>
      </c>
      <c r="G71" s="16">
        <v>0</v>
      </c>
      <c r="H71" s="27" t="s">
        <v>182</v>
      </c>
      <c r="I71" s="7" t="s"/>
    </row>
    <row r="72" spans="1:9">
      <c r="A72" s="5">
        <v>66</v>
      </c>
      <c r="B72" s="13" t="s">
        <v>183</v>
      </c>
      <c r="C72" s="13" t="s"/>
      <c r="D72" s="13" t="s">
        <v>18</v>
      </c>
      <c r="E72" s="13" t="s">
        <v>13</v>
      </c>
      <c r="F72" s="13" t="s">
        <v>159</v>
      </c>
      <c r="G72" s="13">
        <v>0</v>
      </c>
      <c r="H72" s="14" t="s">
        <v>184</v>
      </c>
      <c r="I72" s="7" t="s"/>
    </row>
    <row r="73" spans="1:9">
      <c r="A73" s="5">
        <v>67</v>
      </c>
      <c r="B73" s="37" t="s">
        <v>185</v>
      </c>
      <c r="C73" s="11" t="s"/>
      <c r="D73" s="5" t="s">
        <v>18</v>
      </c>
      <c r="E73" s="5" t="s">
        <v>13</v>
      </c>
      <c r="F73" s="5" t="s">
        <v>159</v>
      </c>
      <c r="G73" s="5">
        <v>1</v>
      </c>
      <c r="H73" s="7" t="s">
        <v>186</v>
      </c>
      <c r="I73" s="7" t="s"/>
    </row>
    <row r="74" spans="1:9">
      <c r="A74" s="5">
        <v>68</v>
      </c>
      <c r="B74" s="13" t="s">
        <v>187</v>
      </c>
      <c r="C74" s="13" t="s">
        <v>188</v>
      </c>
      <c r="D74" s="13" t="s">
        <v>18</v>
      </c>
      <c r="E74" s="13" t="s">
        <v>13</v>
      </c>
      <c r="F74" s="13" t="s">
        <v>159</v>
      </c>
      <c r="G74" s="13">
        <v>5</v>
      </c>
      <c r="H74" s="14" t="s">
        <v>189</v>
      </c>
      <c r="I74" s="7" t="s"/>
    </row>
    <row r="75" spans="1:9">
      <c r="A75" s="5">
        <v>69</v>
      </c>
      <c r="B75" s="13" t="s">
        <v>190</v>
      </c>
      <c r="C75" s="13" t="s"/>
      <c r="D75" s="13" t="s">
        <v>18</v>
      </c>
      <c r="E75" s="13" t="s">
        <v>13</v>
      </c>
      <c r="F75" s="13" t="s">
        <v>159</v>
      </c>
      <c r="G75" s="13">
        <v>6</v>
      </c>
      <c r="H75" s="14" t="s">
        <v>191</v>
      </c>
      <c r="I75" s="7" t="s"/>
    </row>
    <row r="76" spans="1:9">
      <c r="A76" s="5">
        <v>70</v>
      </c>
      <c r="B76" s="13" t="s">
        <v>192</v>
      </c>
      <c r="C76" s="16" t="s"/>
      <c r="D76" s="13" t="s">
        <v>18</v>
      </c>
      <c r="E76" s="13" t="s">
        <v>13</v>
      </c>
      <c r="F76" s="13" t="s">
        <v>159</v>
      </c>
      <c r="G76" s="38" t="s">
        <v>134</v>
      </c>
      <c r="H76" s="27" t="s">
        <v>193</v>
      </c>
      <c r="I76" s="7" t="s"/>
    </row>
    <row r="77" spans="1:9">
      <c r="A77" s="5">
        <v>71</v>
      </c>
      <c r="B77" s="39" t="s">
        <v>194</v>
      </c>
      <c r="C77" s="13" t="s"/>
      <c r="D77" s="39" t="s">
        <v>137</v>
      </c>
      <c r="E77" s="13" t="s">
        <v>13</v>
      </c>
      <c r="F77" s="13" t="s">
        <v>159</v>
      </c>
      <c r="G77" s="13">
        <v>0</v>
      </c>
      <c r="H77" s="40" t="s">
        <v>195</v>
      </c>
      <c r="I77" s="7" t="s"/>
    </row>
    <row r="78" spans="1:9">
      <c r="A78" s="5">
        <v>72</v>
      </c>
      <c r="B78" s="28" t="s">
        <v>196</v>
      </c>
      <c r="C78" s="16" t="s"/>
      <c r="D78" s="28" t="s">
        <v>137</v>
      </c>
      <c r="E78" s="13" t="s">
        <v>13</v>
      </c>
      <c r="F78" s="13" t="s">
        <v>159</v>
      </c>
      <c r="G78" s="16">
        <v>0</v>
      </c>
      <c r="H78" s="27" t="s">
        <v>197</v>
      </c>
      <c r="I78" s="7" t="s">
        <v>198</v>
      </c>
    </row>
    <row r="79" spans="1:9">
      <c r="A79" s="5">
        <v>73</v>
      </c>
      <c r="B79" s="38" t="s">
        <v>199</v>
      </c>
      <c r="C79" s="5" t="s"/>
      <c r="D79" s="5" t="s">
        <v>137</v>
      </c>
      <c r="E79" s="5" t="s">
        <v>13</v>
      </c>
      <c r="F79" s="5" t="s">
        <v>159</v>
      </c>
      <c r="G79" s="13">
        <v>1</v>
      </c>
      <c r="H79" s="41" t="s">
        <v>200</v>
      </c>
      <c r="I79" s="7" t="s"/>
    </row>
    <row r="80" spans="1:9">
      <c r="A80" s="5">
        <v>74</v>
      </c>
      <c r="B80" s="28" t="s">
        <v>201</v>
      </c>
      <c r="D80" s="28" t="s">
        <v>137</v>
      </c>
      <c r="E80" s="28" t="s">
        <v>13</v>
      </c>
      <c r="F80" s="28" t="s">
        <v>159</v>
      </c>
      <c r="G80" s="16">
        <v>1</v>
      </c>
      <c r="H80" s="27" t="s">
        <v>202</v>
      </c>
      <c r="I80" s="7" t="s"/>
    </row>
    <row r="81" spans="1:8">
      <c r="A81" s="5">
        <v>75</v>
      </c>
      <c r="B81" s="5" t="s">
        <v>203</v>
      </c>
      <c r="C81" s="5" t="s"/>
      <c r="D81" s="5" t="s">
        <v>137</v>
      </c>
      <c r="E81" s="5" t="s">
        <v>13</v>
      </c>
      <c r="F81" s="5" t="s">
        <v>159</v>
      </c>
      <c r="G81" s="5">
        <v>1</v>
      </c>
      <c r="H81" s="7" t="s">
        <v>204</v>
      </c>
    </row>
    <row r="82" spans="1:9">
      <c r="A82" s="5">
        <v>76</v>
      </c>
      <c r="B82" s="13" t="s">
        <v>205</v>
      </c>
      <c r="C82" s="13" t="s">
        <v>206</v>
      </c>
      <c r="D82" s="13" t="s">
        <v>137</v>
      </c>
      <c r="E82" s="13" t="s">
        <v>13</v>
      </c>
      <c r="F82" s="13" t="s">
        <v>159</v>
      </c>
      <c r="G82" s="13">
        <v>1</v>
      </c>
      <c r="H82" s="14" t="s">
        <v>207</v>
      </c>
      <c r="I82" s="7" t="s"/>
    </row>
    <row r="83" spans="1:9">
      <c r="A83" s="5">
        <v>77</v>
      </c>
      <c r="B83" s="13" t="s">
        <v>208</v>
      </c>
      <c r="C83" s="13" t="s">
        <v>209</v>
      </c>
      <c r="D83" s="13" t="s">
        <v>137</v>
      </c>
      <c r="E83" s="13" t="s">
        <v>13</v>
      </c>
      <c r="F83" s="13" t="s">
        <v>159</v>
      </c>
      <c r="G83" s="13">
        <v>2</v>
      </c>
      <c r="H83" s="14" t="s">
        <v>210</v>
      </c>
      <c r="I83" s="7" t="s"/>
    </row>
    <row r="84" spans="1:9">
      <c r="A84" s="5">
        <v>78</v>
      </c>
      <c r="B84" s="5" t="s">
        <v>211</v>
      </c>
      <c r="C84" s="5" t="s"/>
      <c r="D84" s="5" t="s">
        <v>137</v>
      </c>
      <c r="E84" s="5" t="s">
        <v>13</v>
      </c>
      <c r="F84" s="5" t="s">
        <v>159</v>
      </c>
      <c r="G84" s="5">
        <v>3</v>
      </c>
      <c r="H84" s="7" t="s">
        <v>212</v>
      </c>
      <c r="I84" s="27" t="s">
        <v>213</v>
      </c>
    </row>
    <row r="85" spans="1:9">
      <c r="A85" s="5">
        <v>79</v>
      </c>
      <c r="B85" s="5" t="s">
        <v>214</v>
      </c>
      <c r="C85" s="5" t="s"/>
      <c r="D85" s="5" t="s">
        <v>137</v>
      </c>
      <c r="E85" s="5" t="s">
        <v>13</v>
      </c>
      <c r="F85" s="5" t="s">
        <v>159</v>
      </c>
      <c r="G85" s="5">
        <v>3</v>
      </c>
      <c r="H85" s="7" t="s">
        <v>324</v>
      </c>
      <c r="I85" s="7" t="s"/>
    </row>
    <row r="86" spans="1:9">
      <c r="A86" s="5">
        <v>80</v>
      </c>
      <c r="B86" s="13" t="s">
        <v>216</v>
      </c>
      <c r="C86" s="13" t="s"/>
      <c r="D86" s="13" t="s">
        <v>137</v>
      </c>
      <c r="E86" s="13" t="s">
        <v>13</v>
      </c>
      <c r="F86" s="13" t="s">
        <v>159</v>
      </c>
      <c r="G86" s="13">
        <v>4</v>
      </c>
      <c r="H86" s="14" t="s">
        <v>308</v>
      </c>
      <c r="I86" s="7" t="s"/>
    </row>
    <row r="87" spans="1:26" s="85" customFormat="1">
      <c r="A87" s="42" t="s"/>
      <c r="B87" s="42" t="s"/>
      <c r="C87" s="42" t="s"/>
      <c r="D87" s="42" t="s"/>
      <c r="E87" s="42" t="s"/>
      <c r="F87" s="42" t="s"/>
      <c r="G87" s="42" t="s"/>
      <c r="H87" s="43" t="s"/>
      <c r="I87" s="43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</row>
    <row r="88" spans="1:9">
      <c r="A88" s="5">
        <v>81</v>
      </c>
      <c r="B88" s="4" t="s">
        <v>218</v>
      </c>
      <c r="C88" s="4" t="s">
        <v>219</v>
      </c>
      <c r="D88" s="4" t="s">
        <v>18</v>
      </c>
      <c r="E88" s="5" t="s">
        <v>220</v>
      </c>
      <c r="F88" s="4" t="s">
        <v>221</v>
      </c>
      <c r="G88" s="5">
        <v>0</v>
      </c>
      <c r="H88" s="7" t="s">
        <v>222</v>
      </c>
      <c r="I88" s="44" t="s">
        <v>223</v>
      </c>
    </row>
    <row r="89" spans="1:9">
      <c r="A89" s="5">
        <v>82</v>
      </c>
      <c r="B89" s="45" t="s">
        <v>224</v>
      </c>
      <c r="C89" s="45" t="s">
        <v>225</v>
      </c>
      <c r="D89" s="45" t="s">
        <v>12</v>
      </c>
      <c r="E89" s="13" t="s">
        <v>220</v>
      </c>
      <c r="F89" s="45" t="s">
        <v>221</v>
      </c>
      <c r="G89" s="13">
        <v>0</v>
      </c>
      <c r="H89" s="14" t="s">
        <v>226</v>
      </c>
      <c r="I89" s="44" t="s">
        <v>227</v>
      </c>
    </row>
    <row r="90" spans="1:9">
      <c r="A90" s="5">
        <v>83</v>
      </c>
      <c r="B90" s="45" t="s">
        <v>228</v>
      </c>
      <c r="C90" s="45" t="s">
        <v>229</v>
      </c>
      <c r="D90" s="45" t="s">
        <v>18</v>
      </c>
      <c r="E90" s="13" t="s">
        <v>220</v>
      </c>
      <c r="F90" s="45" t="s">
        <v>221</v>
      </c>
      <c r="G90" s="13">
        <v>0</v>
      </c>
      <c r="H90" s="14" t="s">
        <v>230</v>
      </c>
      <c r="I90" s="44" t="s">
        <v>227</v>
      </c>
    </row>
    <row r="91" spans="1:9">
      <c r="A91" s="13">
        <v>84</v>
      </c>
      <c r="B91" s="45" t="s">
        <v>231</v>
      </c>
      <c r="C91" s="45" t="s">
        <v>232</v>
      </c>
      <c r="D91" s="45" t="s">
        <v>18</v>
      </c>
      <c r="E91" s="13" t="s">
        <v>220</v>
      </c>
      <c r="F91" s="45" t="s">
        <v>221</v>
      </c>
      <c r="G91" s="13">
        <v>0</v>
      </c>
      <c r="H91" s="14" t="s">
        <v>233</v>
      </c>
      <c r="I91" s="46" t="s">
        <v>227</v>
      </c>
    </row>
    <row r="92" spans="1:9">
      <c r="A92" s="5">
        <v>85</v>
      </c>
      <c r="B92" s="4" t="s">
        <v>234</v>
      </c>
      <c r="C92" s="4" t="s">
        <v>235</v>
      </c>
      <c r="D92" s="4" t="s">
        <v>18</v>
      </c>
      <c r="E92" s="5" t="s">
        <v>220</v>
      </c>
      <c r="F92" s="4" t="s">
        <v>221</v>
      </c>
      <c r="G92" s="5">
        <v>1</v>
      </c>
      <c r="H92" s="7" t="s">
        <v>236</v>
      </c>
      <c r="I92" s="47" t="s">
        <v>237</v>
      </c>
    </row>
    <row r="93" spans="1:9">
      <c r="A93" s="5">
        <v>86</v>
      </c>
      <c r="B93" s="4" t="s">
        <v>238</v>
      </c>
      <c r="C93" s="4" t="s">
        <v>239</v>
      </c>
      <c r="D93" s="4" t="s">
        <v>18</v>
      </c>
      <c r="E93" s="5" t="s">
        <v>220</v>
      </c>
      <c r="F93" s="4" t="s">
        <v>221</v>
      </c>
      <c r="G93" s="5">
        <v>0</v>
      </c>
      <c r="H93" s="7" t="s">
        <v>240</v>
      </c>
      <c r="I93" s="47" t="s">
        <v>227</v>
      </c>
    </row>
    <row r="94" spans="1:26">
      <c r="A94" s="5">
        <v>87</v>
      </c>
      <c r="B94" s="4" t="s">
        <v>241</v>
      </c>
      <c r="C94" s="4" t="s">
        <v>242</v>
      </c>
      <c r="D94" s="4" t="s">
        <v>18</v>
      </c>
      <c r="E94" s="5" t="s">
        <v>220</v>
      </c>
      <c r="F94" s="4" t="s">
        <v>221</v>
      </c>
      <c r="G94" s="5">
        <v>0</v>
      </c>
      <c r="H94" s="7" t="s">
        <v>243</v>
      </c>
      <c r="I94" s="47" t="s">
        <v>227</v>
      </c>
      <c r="J94" s="48" t="s"/>
      <c r="K94" s="48" t="s"/>
      <c r="L94" s="48" t="s"/>
      <c r="M94" s="48" t="s"/>
      <c r="N94" s="48" t="s"/>
      <c r="O94" s="48" t="s"/>
      <c r="P94" s="48" t="s"/>
      <c r="Q94" s="48" t="s"/>
      <c r="R94" s="48" t="s"/>
      <c r="S94" s="48" t="s"/>
      <c r="T94" s="48" t="s"/>
      <c r="U94" s="48" t="s"/>
      <c r="V94" s="48" t="s"/>
      <c r="W94" s="48" t="s"/>
      <c r="X94" s="48" t="s"/>
      <c r="Y94" s="48" t="s"/>
      <c r="Z94" s="48" t="s"/>
    </row>
    <row r="95" spans="1:26">
      <c r="A95" s="13">
        <v>88</v>
      </c>
      <c r="B95" s="45" t="s">
        <v>244</v>
      </c>
      <c r="C95" s="45" t="s">
        <v>245</v>
      </c>
      <c r="D95" s="45" t="s">
        <v>18</v>
      </c>
      <c r="E95" s="13" t="s">
        <v>220</v>
      </c>
      <c r="F95" s="45" t="s">
        <v>221</v>
      </c>
      <c r="G95" s="13">
        <v>0</v>
      </c>
      <c r="H95" s="14" t="s">
        <v>246</v>
      </c>
      <c r="I95" s="49" t="s">
        <v>227</v>
      </c>
      <c r="J95" s="48" t="s"/>
      <c r="K95" s="48" t="s"/>
      <c r="L95" s="48" t="s"/>
      <c r="M95" s="48" t="s"/>
      <c r="N95" s="48" t="s"/>
      <c r="O95" s="48" t="s"/>
      <c r="P95" s="48" t="s"/>
      <c r="Q95" s="48" t="s"/>
      <c r="R95" s="48" t="s"/>
      <c r="S95" s="48" t="s"/>
      <c r="T95" s="48" t="s"/>
      <c r="U95" s="48" t="s"/>
      <c r="V95" s="48" t="s"/>
      <c r="W95" s="48" t="s"/>
      <c r="X95" s="48" t="s"/>
      <c r="Y95" s="48" t="s"/>
      <c r="Z95" s="48" t="s"/>
    </row>
    <row r="96" spans="1:26">
      <c r="A96" s="5">
        <v>89</v>
      </c>
      <c r="B96" s="13" t="s">
        <v>247</v>
      </c>
      <c r="C96" s="13" t="s"/>
      <c r="D96" s="13" t="s">
        <v>18</v>
      </c>
      <c r="E96" s="13" t="s">
        <v>220</v>
      </c>
      <c r="F96" s="13" t="s">
        <v>221</v>
      </c>
      <c r="G96" s="13">
        <v>0</v>
      </c>
      <c r="H96" s="14" t="s">
        <v>248</v>
      </c>
      <c r="I96" s="46" t="s">
        <v>251</v>
      </c>
      <c r="J96" s="48" t="s"/>
      <c r="K96" s="48" t="s"/>
      <c r="L96" s="48" t="s"/>
      <c r="M96" s="48" t="s"/>
      <c r="N96" s="48" t="s"/>
      <c r="O96" s="48" t="s"/>
      <c r="P96" s="48" t="s"/>
      <c r="Q96" s="48" t="s"/>
      <c r="R96" s="48" t="s"/>
      <c r="S96" s="48" t="s"/>
      <c r="T96" s="48" t="s"/>
      <c r="U96" s="48" t="s"/>
      <c r="V96" s="48" t="s"/>
      <c r="W96" s="48" t="s"/>
      <c r="X96" s="48" t="s"/>
      <c r="Y96" s="48" t="s"/>
      <c r="Z96" s="48" t="s"/>
    </row>
    <row r="97" spans="1:26">
      <c r="A97" s="13">
        <v>90</v>
      </c>
      <c r="B97" s="13" t="s">
        <v>249</v>
      </c>
      <c r="C97" s="13" t="s"/>
      <c r="D97" s="13" t="s">
        <v>18</v>
      </c>
      <c r="E97" s="13" t="s">
        <v>220</v>
      </c>
      <c r="F97" s="13" t="s">
        <v>221</v>
      </c>
      <c r="G97" s="13">
        <v>0</v>
      </c>
      <c r="H97" s="14" t="s">
        <v>250</v>
      </c>
      <c r="J97" s="48" t="s"/>
      <c r="K97" s="48" t="s"/>
      <c r="L97" s="48" t="s"/>
      <c r="M97" s="48" t="s"/>
      <c r="N97" s="48" t="s"/>
      <c r="O97" s="48" t="s"/>
      <c r="P97" s="48" t="s"/>
      <c r="Q97" s="48" t="s"/>
      <c r="R97" s="48" t="s"/>
      <c r="S97" s="48" t="s"/>
      <c r="T97" s="48" t="s"/>
      <c r="U97" s="48" t="s"/>
      <c r="V97" s="48" t="s"/>
      <c r="W97" s="48" t="s"/>
      <c r="X97" s="48" t="s"/>
      <c r="Y97" s="48" t="s"/>
      <c r="Z97" s="48" t="s"/>
    </row>
    <row r="98" spans="1:26">
      <c r="A98" s="5">
        <v>91</v>
      </c>
      <c r="B98" s="38" t="s">
        <v>252</v>
      </c>
      <c r="C98" s="16" t="s"/>
      <c r="D98" s="13" t="s">
        <v>18</v>
      </c>
      <c r="E98" s="13" t="s">
        <v>220</v>
      </c>
      <c r="F98" s="13" t="s">
        <v>221</v>
      </c>
      <c r="G98" s="13">
        <v>1</v>
      </c>
      <c r="H98" s="14" t="s">
        <v>253</v>
      </c>
      <c r="I98" s="25" t="s"/>
      <c r="J98" s="48" t="s"/>
      <c r="K98" s="48" t="s"/>
      <c r="L98" s="48" t="s"/>
      <c r="M98" s="48" t="s"/>
      <c r="N98" s="48" t="s"/>
      <c r="O98" s="48" t="s"/>
      <c r="P98" s="48" t="s"/>
      <c r="Q98" s="48" t="s"/>
      <c r="R98" s="48" t="s"/>
      <c r="S98" s="48" t="s"/>
      <c r="T98" s="48" t="s"/>
      <c r="U98" s="48" t="s"/>
      <c r="V98" s="48" t="s"/>
      <c r="W98" s="48" t="s"/>
      <c r="X98" s="48" t="s"/>
      <c r="Y98" s="48" t="s"/>
      <c r="Z98" s="48" t="s"/>
    </row>
    <row r="99" spans="1:26">
      <c r="A99" s="13">
        <v>92</v>
      </c>
      <c r="B99" s="45" t="s">
        <v>254</v>
      </c>
      <c r="C99" s="45" t="s"/>
      <c r="D99" s="45" t="s">
        <v>18</v>
      </c>
      <c r="E99" s="13" t="s">
        <v>220</v>
      </c>
      <c r="F99" s="13" t="s">
        <v>221</v>
      </c>
      <c r="G99" s="13">
        <v>1</v>
      </c>
      <c r="H99" s="14" t="s">
        <v>255</v>
      </c>
      <c r="I99" s="49" t="s"/>
      <c r="J99" s="48" t="s"/>
      <c r="K99" s="48" t="s"/>
      <c r="L99" s="48" t="s"/>
      <c r="M99" s="48" t="s"/>
      <c r="N99" s="48" t="s"/>
      <c r="O99" s="48" t="s"/>
      <c r="P99" s="48" t="s"/>
      <c r="Q99" s="48" t="s"/>
      <c r="R99" s="48" t="s"/>
      <c r="S99" s="48" t="s"/>
      <c r="T99" s="48" t="s"/>
      <c r="U99" s="48" t="s"/>
      <c r="V99" s="48" t="s"/>
      <c r="W99" s="48" t="s"/>
      <c r="X99" s="48" t="s"/>
      <c r="Y99" s="48" t="s"/>
      <c r="Z99" s="48" t="s"/>
    </row>
    <row r="100" spans="1:9">
      <c r="A100" s="5">
        <v>93</v>
      </c>
      <c r="B100" s="28" t="s">
        <v>256</v>
      </c>
      <c r="C100" s="11" t="s"/>
      <c r="D100" s="4" t="s">
        <v>18</v>
      </c>
      <c r="E100" s="5" t="s">
        <v>220</v>
      </c>
      <c r="F100" s="5" t="s">
        <v>221</v>
      </c>
      <c r="G100" s="5">
        <v>0</v>
      </c>
      <c r="H100" s="31" t="s">
        <v>257</v>
      </c>
      <c r="I100" s="12" t="s"/>
    </row>
    <row r="102" spans="1:9">
      <c r="A102" s="4">
        <v>94</v>
      </c>
      <c r="B102" s="28" t="s">
        <v>311</v>
      </c>
      <c r="C102" s="16" t="s">
        <v>312</v>
      </c>
      <c r="D102" s="28" t="s">
        <v>12</v>
      </c>
      <c r="E102" s="28" t="s">
        <v>13</v>
      </c>
      <c r="F102" s="28" t="s">
        <v>259</v>
      </c>
      <c r="G102" s="16">
        <v>1</v>
      </c>
      <c r="H102" s="27" t="s">
        <v>260</v>
      </c>
      <c r="I102" s="27" t="s">
        <v>10</v>
      </c>
    </row>
    <row r="103" spans="1:8">
      <c r="A103" s="16">
        <v>95</v>
      </c>
      <c r="B103" s="28" t="s">
        <v>327</v>
      </c>
      <c r="C103" s="28" t="s">
        <v>328</v>
      </c>
      <c r="D103" s="28" t="s">
        <v>137</v>
      </c>
      <c r="E103" s="16" t="s">
        <v>13</v>
      </c>
      <c r="F103" s="16" t="s">
        <v>259</v>
      </c>
      <c r="G103" s="16">
        <v>1</v>
      </c>
      <c r="H103" s="27" t="s">
        <v>337</v>
      </c>
    </row>
    <row r="104" spans="1:8">
      <c r="A104" s="4" t="s"/>
      <c r="G104" s="16" t="s"/>
      <c r="H104" s="27" t="s"/>
    </row>
    <row r="105" spans="1:4">
      <c r="A105" s="28" t="s"/>
      <c r="B105" s="28" t="s"/>
      <c r="D105" s="28" t="s"/>
    </row>
    <row r="106" spans="1:9">
      <c r="A106" s="4" t="s"/>
      <c r="B106" s="51" t="s"/>
      <c r="C106" s="4" t="s"/>
      <c r="D106" s="4" t="s"/>
      <c r="E106" s="4" t="s"/>
      <c r="F106" s="4" t="s"/>
      <c r="G106" s="11" t="s"/>
      <c r="H106" s="7" t="s"/>
      <c r="I106" s="47" t="s"/>
    </row>
    <row r="107" spans="1:7">
      <c r="A107" s="16" t="s"/>
      <c r="G107" s="13" t="s"/>
    </row>
    <row r="108" spans="7:7">
      <c r="G108" s="13" t="s"/>
    </row>
    <row r="109" spans="7:7">
      <c r="G109" s="13" t="s"/>
    </row>
    <row r="110" spans="7:7">
      <c r="G110" s="13" t="s"/>
    </row>
    <row r="111" spans="7:7">
      <c r="G111" s="13" t="s"/>
    </row>
    <row r="112" spans="7:7">
      <c r="G112" s="13" t="s"/>
    </row>
    <row r="113" spans="7:7">
      <c r="G113" s="13" t="s"/>
    </row>
    <row r="114" spans="7:7">
      <c r="G114" s="13" t="s"/>
    </row>
    <row r="115" spans="7:7">
      <c r="G115" s="13" t="s"/>
    </row>
    <row r="116" spans="7:7">
      <c r="G116" s="13" t="s"/>
    </row>
    <row r="117" spans="7:7">
      <c r="G117" s="13" t="s"/>
    </row>
    <row r="118" spans="7:7">
      <c r="G118" s="13" t="s"/>
    </row>
    <row r="119" spans="7:7">
      <c r="G119" s="13" t="s"/>
    </row>
    <row r="120" spans="7:7">
      <c r="G120" s="13" t="s"/>
    </row>
    <row r="121" spans="7:7">
      <c r="G121" s="13" t="s"/>
    </row>
    <row r="122" spans="7:7">
      <c r="G122" s="13" t="s"/>
    </row>
    <row r="123" spans="7:7">
      <c r="G123" s="13" t="s"/>
    </row>
    <row r="124" spans="7:7">
      <c r="G124" s="13" t="s"/>
    </row>
    <row r="125" spans="7:7">
      <c r="G125" s="13" t="s"/>
    </row>
    <row r="126" spans="7:7">
      <c r="G126" s="13" t="s"/>
    </row>
    <row r="127" spans="7:7">
      <c r="G127" s="13" t="s"/>
    </row>
    <row r="128" spans="7:7">
      <c r="G128" s="13" t="s"/>
    </row>
    <row r="129" spans="7:7">
      <c r="G129" s="13" t="s"/>
    </row>
    <row r="130" spans="7:7">
      <c r="G130" s="13" t="s"/>
    </row>
    <row r="131" spans="7:7">
      <c r="G131" s="13" t="s"/>
    </row>
    <row r="132" spans="7:7">
      <c r="G132" s="13" t="s"/>
    </row>
    <row r="133" spans="7:7">
      <c r="G133" s="13" t="s"/>
    </row>
    <row r="134" spans="7:7">
      <c r="G134" s="13" t="s"/>
    </row>
    <row r="135" spans="7:7">
      <c r="G135" s="13" t="s"/>
    </row>
    <row r="136" spans="7:7">
      <c r="G136" s="13" t="s"/>
    </row>
    <row r="137" spans="7:7">
      <c r="G137" s="13" t="s"/>
    </row>
    <row r="138" spans="7:7">
      <c r="G138" s="13" t="s"/>
    </row>
    <row r="139" spans="7:7">
      <c r="G139" s="13" t="s"/>
    </row>
    <row r="140" spans="7:7">
      <c r="G140" s="13" t="s"/>
    </row>
    <row r="141" spans="7:7">
      <c r="G141" s="13" t="s"/>
    </row>
    <row r="142" spans="7:7">
      <c r="G142" s="13" t="s"/>
    </row>
    <row r="143" spans="7:7">
      <c r="G143" s="13" t="s"/>
    </row>
    <row r="144" spans="7:7">
      <c r="G144" s="13" t="s"/>
    </row>
    <row r="145" spans="7:7">
      <c r="G145" s="13" t="s"/>
    </row>
    <row r="146" spans="7:7">
      <c r="G146" s="13" t="s"/>
    </row>
    <row r="147" spans="7:7">
      <c r="G147" s="13" t="s"/>
    </row>
    <row r="148" spans="7:7">
      <c r="G148" s="13" t="s"/>
    </row>
    <row r="149" spans="7:7">
      <c r="G149" s="13" t="s"/>
    </row>
    <row r="150" spans="7:7">
      <c r="G150" s="13" t="s"/>
    </row>
    <row r="151" spans="7:7">
      <c r="G151" s="13" t="s"/>
    </row>
    <row r="152" spans="7:7">
      <c r="G152" s="13" t="s"/>
    </row>
    <row r="153" spans="7:7">
      <c r="G153" s="13" t="s"/>
    </row>
    <row r="154" spans="7:7">
      <c r="G154" s="13" t="s"/>
    </row>
    <row r="155" spans="7:7">
      <c r="G155" s="13" t="s"/>
    </row>
    <row r="156" spans="7:7">
      <c r="G156" s="13" t="s"/>
    </row>
    <row r="157" spans="7:7">
      <c r="G157" s="13" t="s"/>
    </row>
    <row r="158" spans="7:7">
      <c r="G158" s="13" t="s"/>
    </row>
    <row r="159" spans="7:7">
      <c r="G159" s="13" t="s"/>
    </row>
    <row r="160" spans="7:7">
      <c r="G160" s="13" t="s"/>
    </row>
    <row r="161" spans="7:7">
      <c r="G161" s="13" t="s"/>
    </row>
    <row r="162" spans="7:7">
      <c r="G162" s="13" t="s"/>
    </row>
    <row r="163" spans="7:7">
      <c r="G163" s="13" t="s"/>
    </row>
    <row r="164" spans="7:7">
      <c r="G164" s="13" t="s"/>
    </row>
    <row r="165" spans="7:7">
      <c r="G165" s="13" t="s"/>
    </row>
    <row r="166" spans="7:7">
      <c r="G166" s="13" t="s"/>
    </row>
    <row r="167" spans="7:7">
      <c r="G167" s="13" t="s"/>
    </row>
    <row r="168" spans="7:7">
      <c r="G168" s="13" t="s"/>
    </row>
    <row r="169" spans="7:7">
      <c r="G169" s="13" t="s"/>
    </row>
    <row r="170" spans="7:7">
      <c r="G170" s="13" t="s"/>
    </row>
    <row r="171" spans="7:7">
      <c r="G171" s="13" t="s"/>
    </row>
    <row r="172" spans="7:7">
      <c r="G172" s="13" t="s"/>
    </row>
    <row r="173" spans="7:7">
      <c r="G173" s="13" t="s"/>
    </row>
    <row r="174" spans="7:7">
      <c r="G174" s="13" t="s"/>
    </row>
    <row r="175" spans="7:7">
      <c r="G175" s="13" t="s"/>
    </row>
    <row r="176" spans="7:7">
      <c r="G176" s="13" t="s"/>
    </row>
    <row r="177" spans="7:7">
      <c r="G177" s="13" t="s"/>
    </row>
    <row r="178" spans="7:7">
      <c r="G178" s="13" t="s"/>
    </row>
    <row r="179" spans="7:7">
      <c r="G179" s="13" t="s"/>
    </row>
    <row r="180" spans="7:7">
      <c r="G180" s="13" t="s"/>
    </row>
    <row r="181" spans="7:7">
      <c r="G181" s="13" t="s"/>
    </row>
    <row r="182" spans="7:7">
      <c r="G182" s="13" t="s"/>
    </row>
    <row r="183" spans="7:7">
      <c r="G183" s="13" t="s"/>
    </row>
    <row r="184" spans="7:7">
      <c r="G184" s="13" t="s"/>
    </row>
    <row r="185" spans="7:7">
      <c r="G185" s="13" t="s"/>
    </row>
    <row r="186" spans="7:7">
      <c r="G186" s="13" t="s"/>
    </row>
    <row r="187" spans="7:7">
      <c r="G187" s="13" t="s"/>
    </row>
    <row r="188" spans="7:7">
      <c r="G188" s="13" t="s"/>
    </row>
    <row r="189" spans="7:7">
      <c r="G189" s="13" t="s"/>
    </row>
    <row r="190" spans="7:7">
      <c r="G190" s="13" t="s"/>
    </row>
    <row r="191" spans="7:7">
      <c r="G191" s="13" t="s"/>
    </row>
    <row r="192" spans="7:7">
      <c r="G192" s="13" t="s"/>
    </row>
    <row r="193" spans="7:7">
      <c r="G193" s="13" t="s"/>
    </row>
    <row r="194" spans="7:7">
      <c r="G194" s="13" t="s"/>
    </row>
    <row r="195" spans="7:7">
      <c r="G195" s="13" t="s"/>
    </row>
    <row r="196" spans="7:7">
      <c r="G196" s="13" t="s"/>
    </row>
    <row r="197" spans="7:7">
      <c r="G197" s="13" t="s"/>
    </row>
    <row r="198" spans="7:7">
      <c r="G198" s="13" t="s"/>
    </row>
    <row r="199" spans="7:7">
      <c r="G199" s="13" t="s"/>
    </row>
    <row r="200" spans="7:7">
      <c r="G200" s="13" t="s"/>
    </row>
  </sheetData>
  <hyperlinks>
    <hyperlink ref="I70" location="'工作表1'!B104:H104"/>
  </hyperlinks>
</worksheet>
</file>

<file path=xl/worksheets/sheet2.xml><?xml version="1.0" encoding="utf-8"?>
<worksheet xmlns="http://schemas.openxmlformats.org/spreadsheetml/2006/main">
  <sheetPr codeName="遗物药水表">
    <tabColor/>
  </sheetPr>
  <dimension ref="H3"/>
  <sheetViews>
    <sheetView showGridLines="1" workbookViewId="0">
      <pane ySplit="1" topLeftCell="A2" state="frozen"/>
    </sheetView>
  </sheetViews>
  <sheetFormatPr baseColWidth="13" defaultRowHeight="18" customHeight="1"/>
  <cols>
    <col min="1" max="1" width="5.93359" customWidth="1"/>
    <col min="2" max="2" width="14.5625" customWidth="1"/>
    <col min="3" max="3" width="10.3828" customWidth="1"/>
    <col min="4" max="4" width="7.82422" customWidth="1"/>
    <col min="6" max="6" width="41.9531" style="86" customWidth="1"/>
    <col min="7" max="7" width="36.2812" customWidth="1"/>
  </cols>
  <sheetData>
    <row r="1" spans="1:8">
      <c r="A1" s="28" t="s">
        <v>1</v>
      </c>
      <c r="B1" s="28" t="s">
        <v>263</v>
      </c>
      <c r="C1" s="16" t="s">
        <v>264</v>
      </c>
      <c r="D1" s="28" t="s">
        <v>6</v>
      </c>
      <c r="E1" s="16" t="s">
        <v>265</v>
      </c>
      <c r="F1" s="16" t="s">
        <v>266</v>
      </c>
      <c r="G1" s="16" t="s">
        <v>9</v>
      </c>
      <c r="H1" s="25" t="s"/>
    </row>
    <row r="2" spans="1:7">
      <c r="A2" s="45">
        <v>1</v>
      </c>
      <c r="B2" s="51" t="s">
        <v>267</v>
      </c>
      <c r="C2" s="52" t="s">
        <v>268</v>
      </c>
      <c r="D2" s="45" t="s">
        <v>14</v>
      </c>
      <c r="E2" s="45" t="s">
        <v>228</v>
      </c>
      <c r="F2" s="14" t="s">
        <v>269</v>
      </c>
      <c r="G2" s="13" t="s"/>
    </row>
    <row r="3" spans="1:8">
      <c r="A3" s="16">
        <v>2</v>
      </c>
      <c r="B3" s="16" t="s">
        <v>270</v>
      </c>
      <c r="C3" s="16" t="s">
        <v>271</v>
      </c>
      <c r="D3" s="16" t="s">
        <v>259</v>
      </c>
      <c r="E3" s="16" t="s">
        <v>228</v>
      </c>
      <c r="F3" s="14" t="s">
        <v>272</v>
      </c>
      <c r="G3" s="13" t="s"/>
      <c r="H3" s="25" t="s"/>
    </row>
  </sheetData>
</worksheet>
</file>

<file path=xl/worksheets/sheet3.xml><?xml version="1.0" encoding="utf-8"?>
<worksheet xmlns="http://schemas.openxmlformats.org/spreadsheetml/2006/main">
  <sheetPr codeName="统计及修改">
    <tabColor/>
  </sheetPr>
  <dimension ref="C18"/>
  <sheetViews>
    <sheetView showGridLines="1" workbookViewId="0">
      <pane ySplit="1" topLeftCell="A2" state="frozen"/>
    </sheetView>
  </sheetViews>
  <sheetFormatPr baseColWidth="13" defaultRowHeight="18" customHeight="1"/>
  <cols>
    <col min="1" max="1" width="8.90234" style="60" customWidth="1"/>
    <col min="2" max="2" width="66.7734" style="70" customWidth="1"/>
    <col min="3" max="3" width="8.90234" style="71" customWidth="1"/>
    <col min="4" max="4" width="30.4844" style="70" customWidth="1"/>
    <col min="6" max="10" width="5.16406" customWidth="1"/>
  </cols>
  <sheetData>
    <row r="1" spans="1:10">
      <c r="A1" s="53" t="s">
        <v>273</v>
      </c>
      <c r="B1" s="54" t="s">
        <v>274</v>
      </c>
      <c r="C1" s="55" t="s">
        <v>275</v>
      </c>
      <c r="D1" s="54" t="s">
        <v>9</v>
      </c>
      <c r="F1" s="56" t="s">
        <v>276</v>
      </c>
      <c r="G1" s="57" t="s">
        <v>21</v>
      </c>
      <c r="H1" s="58" t="s">
        <v>70</v>
      </c>
      <c r="I1" s="57" t="s">
        <v>159</v>
      </c>
      <c r="J1" s="59" t="s">
        <v>277</v>
      </c>
    </row>
    <row r="2" spans="1:10">
      <c r="A2" s="60" t="s">
        <v>278</v>
      </c>
      <c r="B2" s="61" t="s">
        <v>279</v>
      </c>
      <c r="C2" s="62" t="s">
        <v>280</v>
      </c>
      <c r="D2" s="63" t="s"/>
      <c r="F2" s="64" t="s">
        <v>12</v>
      </c>
      <c r="G2" s="65">
        <f>=COUNTIFS(工作表1!$D:$D,$F2,工作表1!$F:$F,G$1,工作表1!$G:$G,"&lt;&gt;",工作表1!$H:$H,"&lt;&gt;",工作表1!$F:$F,"&lt;&gt;衍生")</f>
        <v>10</v>
      </c>
      <c r="H2" s="66">
        <f>=COUNTIFS(工作表1!$D:$D,$F2,工作表1!$F:$F,H$1,工作表1!$G:$G,"&lt;&gt;",工作表1!$H:$H,"&lt;&gt;",工作表1!$F:$F,"&lt;&gt;衍生")</f>
        <v>12</v>
      </c>
      <c r="I2" s="65">
        <f>=COUNTIFS(工作表1!$D:$D,$F2,工作表1!$F:$F,I$1,工作表1!$G:$G,"&lt;&gt;",工作表1!$H:$H,"&lt;&gt;",工作表1!$F:$F,"&lt;&gt;衍生")</f>
        <v>7</v>
      </c>
      <c r="J2" s="67">
        <f>=SUM(G2:I2)</f>
        <v>29</v>
      </c>
    </row>
    <row r="3" spans="1:10">
      <c r="A3" s="68" t="s">
        <v>278</v>
      </c>
      <c r="B3" s="69" t="s">
        <v>281</v>
      </c>
      <c r="C3" s="62" t="s">
        <v>280</v>
      </c>
      <c r="D3" s="63" t="s"/>
      <c r="F3" s="64" t="s">
        <v>18</v>
      </c>
      <c r="G3" s="65">
        <f>=COUNTIFS(工作表1!$D:$D,$F3,工作表1!$F:$F,G$1,工作表1!$G:$G,"&lt;&gt;",工作表1!$H:$H,"&lt;&gt;",工作表1!$F:$F,"&lt;&gt;衍生")</f>
        <v>10</v>
      </c>
      <c r="H3" s="66">
        <f>=COUNTIFS(工作表1!$D:$D,$F3,工作表1!$F:$F,H$1,工作表1!$G:$G,"&lt;&gt;",工作表1!$H:$H,"&lt;&gt;",工作表1!$F:$F,"&lt;&gt;衍生")</f>
        <v>14</v>
      </c>
      <c r="I3" s="65">
        <f>=COUNTIFS(工作表1!$D:$D,$F3,工作表1!$F:$F,I$1,工作表1!$G:$G,"&lt;&gt;",工作表1!$H:$H,"&lt;&gt;",工作表1!$F:$F,"&lt;&gt;衍生")</f>
        <v>8</v>
      </c>
      <c r="J3" s="67">
        <f>=SUM(G3:I3)</f>
        <v>32</v>
      </c>
    </row>
    <row r="4" spans="1:10">
      <c r="A4" s="68" t="s">
        <v>282</v>
      </c>
      <c r="B4" s="70" t="s">
        <v>283</v>
      </c>
      <c r="C4" s="62" t="s">
        <v>280</v>
      </c>
      <c r="D4" s="63" t="s">
        <v>284</v>
      </c>
      <c r="F4" s="64" t="s">
        <v>137</v>
      </c>
      <c r="G4" s="65">
        <f>=COUNTIFS(工作表1!$D:$D,$F4,工作表1!$F:$F,G$1,工作表1!$G:$G,"&lt;&gt;",工作表1!$H:$H,"&lt;&gt;",工作表1!$F:$F,"&lt;&gt;衍生")</f>
        <v>0</v>
      </c>
      <c r="H4" s="66">
        <f>=COUNTIFS(工作表1!$D:$D,$F4,工作表1!$F:$F,H$1,工作表1!$G:$G,"&lt;&gt;",工作表1!$H:$H,"&lt;&gt;",工作表1!$F:$F,"&lt;&gt;衍生")</f>
        <v>9</v>
      </c>
      <c r="I4" s="65">
        <f>=COUNTIFS(工作表1!$D:$D,$F4,工作表1!$F:$F,I$1,工作表1!$G:$G,"&lt;&gt;",工作表1!$H:$H,"&lt;&gt;",工作表1!$F:$F,"&lt;&gt;衍生")</f>
        <v>10</v>
      </c>
      <c r="J4" s="67">
        <f>=SUM(G4:I4)</f>
        <v>19</v>
      </c>
    </row>
    <row r="5" spans="1:10">
      <c r="A5" s="68" t="s">
        <v>285</v>
      </c>
      <c r="B5" s="70" t="s">
        <v>286</v>
      </c>
      <c r="C5" s="71" t="s">
        <v>280</v>
      </c>
      <c r="D5" s="63" t="s"/>
      <c r="F5" s="72" t="s">
        <v>277</v>
      </c>
      <c r="G5" s="73">
        <f>=SUM(G2:G4)</f>
        <v>20</v>
      </c>
      <c r="H5" s="74">
        <f>=SUM(H2:H4)</f>
        <v>35</v>
      </c>
      <c r="I5" s="73">
        <f>=SUM(I2:I4)</f>
        <v>25</v>
      </c>
      <c r="J5" s="75">
        <f>=SUM(G5:I5)</f>
        <v>80</v>
      </c>
    </row>
    <row r="6" spans="1:4">
      <c r="A6" s="68" t="s">
        <v>285</v>
      </c>
      <c r="B6" s="76" t="s">
        <v>287</v>
      </c>
      <c r="C6" s="71" t="s">
        <v>280</v>
      </c>
      <c r="D6" s="63" t="s"/>
    </row>
    <row r="7" spans="1:4">
      <c r="A7" s="68" t="s">
        <v>285</v>
      </c>
      <c r="B7" s="76" t="s">
        <v>288</v>
      </c>
      <c r="C7" s="71" t="s">
        <v>280</v>
      </c>
      <c r="D7" s="63" t="s">
        <v>289</v>
      </c>
    </row>
    <row r="8" spans="1:3">
      <c r="A8" s="68" t="s">
        <v>290</v>
      </c>
      <c r="B8" s="76" t="s">
        <v>291</v>
      </c>
      <c r="C8" s="62" t="s">
        <v>280</v>
      </c>
    </row>
    <row r="9" spans="1:3">
      <c r="A9" s="68" t="s">
        <v>290</v>
      </c>
      <c r="B9" s="76" t="s">
        <v>292</v>
      </c>
      <c r="C9" s="62" t="s">
        <v>280</v>
      </c>
    </row>
    <row r="10" spans="1:3">
      <c r="A10" s="68" t="s">
        <v>290</v>
      </c>
      <c r="B10" s="76" t="s">
        <v>293</v>
      </c>
      <c r="C10" s="62" t="s">
        <v>280</v>
      </c>
    </row>
    <row r="11" spans="1:4">
      <c r="A11" s="68" t="s">
        <v>290</v>
      </c>
      <c r="B11" s="76" t="s">
        <v>294</v>
      </c>
      <c r="C11" s="71" t="s">
        <v>280</v>
      </c>
      <c r="D11" s="76" t="s">
        <v>295</v>
      </c>
    </row>
    <row r="12" spans="1:4">
      <c r="A12" s="68" t="s">
        <v>290</v>
      </c>
      <c r="B12" s="76" t="s">
        <v>296</v>
      </c>
      <c r="C12" s="62" t="s">
        <v>297</v>
      </c>
      <c r="D12" s="76" t="s">
        <v>298</v>
      </c>
    </row>
    <row r="13" spans="1:2">
      <c r="A13" s="68" t="s">
        <v>290</v>
      </c>
      <c r="B13" s="76" t="s">
        <v>299</v>
      </c>
    </row>
    <row r="14" spans="1:3">
      <c r="A14" s="68" t="s">
        <v>300</v>
      </c>
      <c r="B14" s="76" t="s">
        <v>301</v>
      </c>
      <c r="C14" s="62" t="s">
        <v>280</v>
      </c>
    </row>
    <row r="15" spans="1:4">
      <c r="A15" s="60" t="s">
        <v>300</v>
      </c>
      <c r="B15" s="70" t="s">
        <v>302</v>
      </c>
      <c r="C15" s="62" t="s">
        <v>280</v>
      </c>
      <c r="D15" s="76" t="s">
        <v>303</v>
      </c>
    </row>
    <row r="16" spans="1:4">
      <c r="A16" s="68" t="s">
        <v>285</v>
      </c>
      <c r="B16" s="76" t="s">
        <v>304</v>
      </c>
      <c r="C16" s="62" t="s">
        <v>280</v>
      </c>
      <c r="D16" s="76" t="s">
        <v>305</v>
      </c>
    </row>
    <row r="17" spans="1:3">
      <c r="A17" s="68" t="s">
        <v>278</v>
      </c>
      <c r="B17" s="76" t="s">
        <v>306</v>
      </c>
      <c r="C17" s="71" t="s">
        <v>280</v>
      </c>
    </row>
    <row r="18" spans="1:3">
      <c r="A18" s="68" t="s">
        <v>285</v>
      </c>
      <c r="B18" s="76" t="s">
        <v>307</v>
      </c>
      <c r="C18" s="71" t="s">
        <v>280</v>
      </c>
    </row>
  </sheetData>
  <conditionalFormatting sqref="A1:A200">
    <cfRule type="containsText" dxfId="0" priority="1" operator="containsText" text="混乱">
      <formula>NOT(ISERROR(SEARCH("混乱",A1)))</formula>
      <formula>"混乱"</formula>
    </cfRule>
  </conditionalFormatting>
  <conditionalFormatting sqref="A1:A200">
    <cfRule type="containsText" dxfId="1" priority="2" operator="containsText" text="天使">
      <formula>NOT(ISERROR(SEARCH("天使",A1)))</formula>
      <formula>"天使"</formula>
    </cfRule>
  </conditionalFormatting>
  <conditionalFormatting sqref="A1:A200">
    <cfRule type="containsText" dxfId="2" priority="3" operator="containsText" text="诅咒">
      <formula>NOT(ISERROR(SEARCH("诅咒",A1)))</formula>
      <formula>"诅咒"</formula>
    </cfRule>
  </conditionalFormatting>
  <conditionalFormatting sqref="A1:A200">
    <cfRule type="containsText" dxfId="3" priority="4" operator="containsText" text="弹药">
      <formula>NOT(ISERROR(SEARCH("弹药",A1)))</formula>
      <formula>"弹药"</formula>
    </cfRule>
  </conditionalFormatting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2026-08-21T17:53:30Z</dcterms:created>
  <dcterms:modified xsi:type="dcterms:W3CDTF">2026-08-21T17:53:30Z</dcterms:modified>
</cp:coreProperties>
</file>